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lexa\Desktop\"/>
    </mc:Choice>
  </mc:AlternateContent>
  <xr:revisionPtr revIDLastSave="0" documentId="13_ncr:1_{973CB985-FB37-4C35-BE61-DE16BA57BBB0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MM1 (en)" sheetId="16" r:id="rId1"/>
    <sheet name="MM1 (de)" sheetId="13" r:id="rId2"/>
    <sheet name="MMc (en)" sheetId="17" r:id="rId3"/>
    <sheet name="MMc (de)" sheetId="12" r:id="rId4"/>
    <sheet name="MMcKM (en)" sheetId="18" r:id="rId5"/>
    <sheet name="MMcKM (de)" sheetId="14" r:id="rId6"/>
    <sheet name="MMcc (en)" sheetId="19" r:id="rId7"/>
    <sheet name="MMcc (de)" sheetId="15" r:id="rId8"/>
    <sheet name="MMc example (en)" sheetId="20" r:id="rId9"/>
    <sheet name="MMc-Beispiel (de)" sheetId="21" r:id="rId10"/>
    <sheet name="MMcKM example (en)" sheetId="22" r:id="rId11"/>
    <sheet name="MMcKM example (de)" sheetId="23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" i="23" l="1"/>
  <c r="B49" i="23"/>
  <c r="B48" i="23"/>
  <c r="B47" i="23"/>
  <c r="C47" i="23" s="1"/>
  <c r="D47" i="23" s="1"/>
  <c r="B46" i="23"/>
  <c r="C45" i="23"/>
  <c r="D45" i="23" s="1"/>
  <c r="B45" i="23"/>
  <c r="B44" i="23"/>
  <c r="C44" i="23" s="1"/>
  <c r="D44" i="23" s="1"/>
  <c r="B43" i="23"/>
  <c r="C43" i="23" s="1"/>
  <c r="D43" i="23" s="1"/>
  <c r="B42" i="23"/>
  <c r="C42" i="23" s="1"/>
  <c r="D42" i="23" s="1"/>
  <c r="B41" i="23"/>
  <c r="C40" i="23"/>
  <c r="D40" i="23" s="1"/>
  <c r="B40" i="23"/>
  <c r="B39" i="23"/>
  <c r="C38" i="23"/>
  <c r="D38" i="23" s="1"/>
  <c r="B38" i="23"/>
  <c r="C37" i="23"/>
  <c r="D37" i="23" s="1"/>
  <c r="B37" i="23"/>
  <c r="C36" i="23"/>
  <c r="D36" i="23" s="1"/>
  <c r="B36" i="23"/>
  <c r="B35" i="23"/>
  <c r="B34" i="23"/>
  <c r="C34" i="23" s="1"/>
  <c r="D34" i="23" s="1"/>
  <c r="B33" i="23"/>
  <c r="B32" i="23"/>
  <c r="B31" i="23"/>
  <c r="C31" i="23" s="1"/>
  <c r="D31" i="23" s="1"/>
  <c r="B30" i="23"/>
  <c r="B29" i="23"/>
  <c r="B28" i="23"/>
  <c r="B27" i="23"/>
  <c r="B26" i="23"/>
  <c r="B25" i="23"/>
  <c r="C25" i="23" s="1"/>
  <c r="D25" i="23" s="1"/>
  <c r="B24" i="23"/>
  <c r="B23" i="23"/>
  <c r="B22" i="23"/>
  <c r="B21" i="23"/>
  <c r="B20" i="23"/>
  <c r="C20" i="23" s="1"/>
  <c r="D20" i="23" s="1"/>
  <c r="B19" i="23"/>
  <c r="C19" i="23" s="1"/>
  <c r="D19" i="23" s="1"/>
  <c r="B18" i="23"/>
  <c r="C18" i="23" s="1"/>
  <c r="D18" i="23" s="1"/>
  <c r="B17" i="23"/>
  <c r="C16" i="23"/>
  <c r="D16" i="23" s="1"/>
  <c r="B16" i="23"/>
  <c r="C11" i="23"/>
  <c r="C29" i="23" s="1"/>
  <c r="D29" i="23" s="1"/>
  <c r="C10" i="23"/>
  <c r="L50" i="23"/>
  <c r="J48" i="23"/>
  <c r="F44" i="23"/>
  <c r="K37" i="23"/>
  <c r="I35" i="23"/>
  <c r="E31" i="23"/>
  <c r="L26" i="23"/>
  <c r="J24" i="23"/>
  <c r="F20" i="23"/>
  <c r="F46" i="23"/>
  <c r="I37" i="23"/>
  <c r="L28" i="23"/>
  <c r="E46" i="23"/>
  <c r="L41" i="23"/>
  <c r="I26" i="23"/>
  <c r="E22" i="23"/>
  <c r="F48" i="23"/>
  <c r="K41" i="23"/>
  <c r="I39" i="23"/>
  <c r="L30" i="23"/>
  <c r="J28" i="23"/>
  <c r="F24" i="23"/>
  <c r="L43" i="23"/>
  <c r="I28" i="23"/>
  <c r="E24" i="23"/>
  <c r="J17" i="23"/>
  <c r="K43" i="23"/>
  <c r="I41" i="23"/>
  <c r="E37" i="23"/>
  <c r="J30" i="23"/>
  <c r="F26" i="23"/>
  <c r="I17" i="23"/>
  <c r="K32" i="23"/>
  <c r="L21" i="23"/>
  <c r="K45" i="23"/>
  <c r="E39" i="23"/>
  <c r="L34" i="23"/>
  <c r="F28" i="23"/>
  <c r="I23" i="23"/>
  <c r="L29" i="23"/>
  <c r="F23" i="23"/>
  <c r="K31" i="23"/>
  <c r="E38" i="23"/>
  <c r="F40" i="23"/>
  <c r="F16" i="23"/>
  <c r="L35" i="23"/>
  <c r="I20" i="23"/>
  <c r="J46" i="23"/>
  <c r="L24" i="23"/>
  <c r="J35" i="23"/>
  <c r="K50" i="23"/>
  <c r="I48" i="23"/>
  <c r="E44" i="23"/>
  <c r="L39" i="23"/>
  <c r="J37" i="23"/>
  <c r="F33" i="23"/>
  <c r="K26" i="23"/>
  <c r="I24" i="23"/>
  <c r="E20" i="23"/>
  <c r="K39" i="23"/>
  <c r="E33" i="23"/>
  <c r="J26" i="23"/>
  <c r="F22" i="23"/>
  <c r="J39" i="23"/>
  <c r="F35" i="23"/>
  <c r="K28" i="23"/>
  <c r="L17" i="23"/>
  <c r="E35" i="23"/>
  <c r="K17" i="23"/>
  <c r="J41" i="23"/>
  <c r="F37" i="23"/>
  <c r="K30" i="23"/>
  <c r="L19" i="23"/>
  <c r="F50" i="23"/>
  <c r="L32" i="23"/>
  <c r="K19" i="23"/>
  <c r="J43" i="23"/>
  <c r="F39" i="23"/>
  <c r="I30" i="23"/>
  <c r="E26" i="23"/>
  <c r="J19" i="23"/>
  <c r="I19" i="23"/>
  <c r="F45" i="23"/>
  <c r="I36" i="23"/>
  <c r="E32" i="23"/>
  <c r="L27" i="23"/>
  <c r="F34" i="23"/>
  <c r="I25" i="23"/>
  <c r="L16" i="23"/>
  <c r="F47" i="23"/>
  <c r="K40" i="23"/>
  <c r="E34" i="23"/>
  <c r="J27" i="23"/>
  <c r="E47" i="23"/>
  <c r="F36" i="23"/>
  <c r="J16" i="23"/>
  <c r="F25" i="23"/>
  <c r="K18" i="23"/>
  <c r="E49" i="23"/>
  <c r="J42" i="23"/>
  <c r="E25" i="23"/>
  <c r="J31" i="23"/>
  <c r="K20" i="23"/>
  <c r="J44" i="23"/>
  <c r="E27" i="23"/>
  <c r="I44" i="23"/>
  <c r="J22" i="23"/>
  <c r="F31" i="23"/>
  <c r="J50" i="23"/>
  <c r="L48" i="23"/>
  <c r="K24" i="23"/>
  <c r="I50" i="23"/>
  <c r="K29" i="23"/>
  <c r="E36" i="23"/>
  <c r="F38" i="23"/>
  <c r="F27" i="23"/>
  <c r="F29" i="23"/>
  <c r="I33" i="23"/>
  <c r="L45" i="23"/>
  <c r="L40" i="23"/>
  <c r="E48" i="23"/>
  <c r="J32" i="23"/>
  <c r="I27" i="23"/>
  <c r="I29" i="23"/>
  <c r="I46" i="23"/>
  <c r="L42" i="23"/>
  <c r="K42" i="23"/>
  <c r="L31" i="23"/>
  <c r="I16" i="23"/>
  <c r="L20" i="23"/>
  <c r="I18" i="23"/>
  <c r="F42" i="23"/>
  <c r="I22" i="23"/>
  <c r="E50" i="23"/>
  <c r="K16" i="23"/>
  <c r="J29" i="23"/>
  <c r="L44" i="23"/>
  <c r="I42" i="23"/>
  <c r="L22" i="23"/>
  <c r="I43" i="23"/>
  <c r="K21" i="23"/>
  <c r="F21" i="23"/>
  <c r="I49" i="23"/>
  <c r="E45" i="23"/>
  <c r="E21" i="23"/>
  <c r="L47" i="23"/>
  <c r="J45" i="23"/>
  <c r="F41" i="23"/>
  <c r="K34" i="23"/>
  <c r="I32" i="23"/>
  <c r="E28" i="23"/>
  <c r="L23" i="23"/>
  <c r="J21" i="23"/>
  <c r="F17" i="23"/>
  <c r="L36" i="23"/>
  <c r="K23" i="23"/>
  <c r="L49" i="23"/>
  <c r="J47" i="23"/>
  <c r="F43" i="23"/>
  <c r="I34" i="23"/>
  <c r="E30" i="23"/>
  <c r="L25" i="23"/>
  <c r="I47" i="23"/>
  <c r="E43" i="23"/>
  <c r="J36" i="23"/>
  <c r="K25" i="23"/>
  <c r="E29" i="23"/>
  <c r="K47" i="23"/>
  <c r="I45" i="23"/>
  <c r="E41" i="23"/>
  <c r="J34" i="23"/>
  <c r="F30" i="23"/>
  <c r="I21" i="23"/>
  <c r="E17" i="23"/>
  <c r="K36" i="23"/>
  <c r="J23" i="23"/>
  <c r="F19" i="23"/>
  <c r="K49" i="23"/>
  <c r="L38" i="23"/>
  <c r="F32" i="23"/>
  <c r="E19" i="23"/>
  <c r="K38" i="23"/>
  <c r="J25" i="23"/>
  <c r="I38" i="23"/>
  <c r="E23" i="23"/>
  <c r="L18" i="23"/>
  <c r="I40" i="23"/>
  <c r="J38" i="23"/>
  <c r="L46" i="23"/>
  <c r="J20" i="23"/>
  <c r="K27" i="23"/>
  <c r="K44" i="23"/>
  <c r="K33" i="23"/>
  <c r="E40" i="23"/>
  <c r="K22" i="23"/>
  <c r="E42" i="23"/>
  <c r="E18" i="23"/>
  <c r="J49" i="23"/>
  <c r="J18" i="23"/>
  <c r="L33" i="23"/>
  <c r="J33" i="23"/>
  <c r="E16" i="23"/>
  <c r="F18" i="23"/>
  <c r="J40" i="23"/>
  <c r="K35" i="23"/>
  <c r="F49" i="23"/>
  <c r="I31" i="23"/>
  <c r="K46" i="23"/>
  <c r="L37" i="23"/>
  <c r="K48" i="23"/>
  <c r="F50" i="22"/>
  <c r="G16" i="23" l="1"/>
  <c r="H16" i="23" s="1"/>
  <c r="G18" i="23"/>
  <c r="H18" i="23" s="1"/>
  <c r="G42" i="23"/>
  <c r="H42" i="23" s="1"/>
  <c r="G40" i="23"/>
  <c r="H40" i="23" s="1"/>
  <c r="G29" i="23"/>
  <c r="H29" i="23" s="1"/>
  <c r="G20" i="23"/>
  <c r="H20" i="23" s="1"/>
  <c r="G44" i="23"/>
  <c r="H44" i="23" s="1"/>
  <c r="G31" i="23"/>
  <c r="H31" i="23" s="1"/>
  <c r="G33" i="23"/>
  <c r="H33" i="23" s="1"/>
  <c r="G36" i="23"/>
  <c r="H36" i="23" s="1"/>
  <c r="G17" i="23"/>
  <c r="H17" i="23" s="1"/>
  <c r="G21" i="23"/>
  <c r="H21" i="23" s="1"/>
  <c r="G26" i="23"/>
  <c r="H26" i="23" s="1"/>
  <c r="G27" i="23"/>
  <c r="H27" i="23" s="1"/>
  <c r="G28" i="23"/>
  <c r="H28" i="23" s="1"/>
  <c r="G48" i="23"/>
  <c r="H48" i="23" s="1"/>
  <c r="G30" i="23"/>
  <c r="H30" i="23" s="1"/>
  <c r="G49" i="23"/>
  <c r="H49" i="23" s="1"/>
  <c r="G32" i="23"/>
  <c r="H32" i="23" s="1"/>
  <c r="G35" i="23"/>
  <c r="H35" i="23" s="1"/>
  <c r="G37" i="23"/>
  <c r="H37" i="23" s="1"/>
  <c r="G38" i="23"/>
  <c r="H38" i="23" s="1"/>
  <c r="G39" i="23"/>
  <c r="H39" i="23" s="1"/>
  <c r="G41" i="23"/>
  <c r="H41" i="23" s="1"/>
  <c r="G22" i="23"/>
  <c r="H22" i="23" s="1"/>
  <c r="G23" i="23"/>
  <c r="H23" i="23" s="1"/>
  <c r="G24" i="23"/>
  <c r="H24" i="23" s="1"/>
  <c r="G45" i="23"/>
  <c r="H45" i="23" s="1"/>
  <c r="G46" i="23"/>
  <c r="H46" i="23" s="1"/>
  <c r="G50" i="23"/>
  <c r="H50" i="23" s="1"/>
  <c r="C49" i="23"/>
  <c r="D49" i="23" s="1"/>
  <c r="C27" i="23"/>
  <c r="D27" i="23" s="1"/>
  <c r="C23" i="23"/>
  <c r="D23" i="23" s="1"/>
  <c r="C32" i="23"/>
  <c r="D32" i="23" s="1"/>
  <c r="C30" i="23"/>
  <c r="D30" i="23" s="1"/>
  <c r="G34" i="23"/>
  <c r="H34" i="23" s="1"/>
  <c r="C41" i="23"/>
  <c r="D41" i="23" s="1"/>
  <c r="C28" i="23"/>
  <c r="D28" i="23" s="1"/>
  <c r="C39" i="23"/>
  <c r="D39" i="23" s="1"/>
  <c r="G43" i="23"/>
  <c r="H43" i="23" s="1"/>
  <c r="G19" i="23"/>
  <c r="H19" i="23" s="1"/>
  <c r="C26" i="23"/>
  <c r="D26" i="23" s="1"/>
  <c r="C50" i="23"/>
  <c r="D50" i="23" s="1"/>
  <c r="G25" i="23"/>
  <c r="H25" i="23" s="1"/>
  <c r="C24" i="23"/>
  <c r="D24" i="23" s="1"/>
  <c r="C48" i="23"/>
  <c r="D48" i="23" s="1"/>
  <c r="C21" i="23"/>
  <c r="D21" i="23" s="1"/>
  <c r="G47" i="23"/>
  <c r="H47" i="23" s="1"/>
  <c r="C17" i="23"/>
  <c r="D17" i="23" s="1"/>
  <c r="C35" i="23"/>
  <c r="D35" i="23" s="1"/>
  <c r="C22" i="23"/>
  <c r="D22" i="23" s="1"/>
  <c r="C46" i="23"/>
  <c r="D46" i="23" s="1"/>
  <c r="C33" i="23"/>
  <c r="D33" i="23" s="1"/>
  <c r="B42" i="22"/>
  <c r="C42" i="22" s="1"/>
  <c r="D42" i="22" s="1"/>
  <c r="B43" i="22"/>
  <c r="C43" i="22"/>
  <c r="D43" i="22"/>
  <c r="B44" i="22"/>
  <c r="C44" i="22"/>
  <c r="D44" i="22" s="1"/>
  <c r="B45" i="22"/>
  <c r="C45" i="22"/>
  <c r="D45" i="22" s="1"/>
  <c r="B46" i="22"/>
  <c r="C46" i="22"/>
  <c r="D46" i="22"/>
  <c r="B47" i="22"/>
  <c r="C47" i="22" s="1"/>
  <c r="D47" i="22" s="1"/>
  <c r="B48" i="22"/>
  <c r="C48" i="22"/>
  <c r="D48" i="22" s="1"/>
  <c r="B49" i="22"/>
  <c r="C49" i="22" s="1"/>
  <c r="D49" i="22" s="1"/>
  <c r="B50" i="22"/>
  <c r="C50" i="22"/>
  <c r="D50" i="22"/>
  <c r="B36" i="22"/>
  <c r="C36" i="22" s="1"/>
  <c r="D36" i="22" s="1"/>
  <c r="B37" i="22"/>
  <c r="C37" i="22"/>
  <c r="D37" i="22"/>
  <c r="B38" i="22"/>
  <c r="B39" i="22"/>
  <c r="C39" i="22"/>
  <c r="D39" i="22" s="1"/>
  <c r="B40" i="22"/>
  <c r="C40" i="22"/>
  <c r="D40" i="22" s="1"/>
  <c r="B41" i="22"/>
  <c r="C41" i="22"/>
  <c r="D41" i="22"/>
  <c r="C10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C11" i="22"/>
  <c r="C25" i="22" s="1"/>
  <c r="D25" i="22" s="1"/>
  <c r="B32" i="21"/>
  <c r="C32" i="21" s="1"/>
  <c r="D32" i="21" s="1"/>
  <c r="B31" i="21"/>
  <c r="C31" i="21" s="1"/>
  <c r="D31" i="21" s="1"/>
  <c r="B30" i="21"/>
  <c r="C30" i="21" s="1"/>
  <c r="D30" i="21" s="1"/>
  <c r="B29" i="21"/>
  <c r="C29" i="21" s="1"/>
  <c r="D29" i="21" s="1"/>
  <c r="B28" i="21"/>
  <c r="C28" i="21" s="1"/>
  <c r="D28" i="21" s="1"/>
  <c r="B27" i="21"/>
  <c r="C27" i="21" s="1"/>
  <c r="D27" i="21" s="1"/>
  <c r="C26" i="21"/>
  <c r="D26" i="21" s="1"/>
  <c r="B26" i="21"/>
  <c r="B25" i="21"/>
  <c r="C25" i="21" s="1"/>
  <c r="D25" i="21" s="1"/>
  <c r="B24" i="21"/>
  <c r="B23" i="21"/>
  <c r="B22" i="21"/>
  <c r="C22" i="21" s="1"/>
  <c r="D22" i="21" s="1"/>
  <c r="B21" i="21"/>
  <c r="C21" i="21" s="1"/>
  <c r="D21" i="21" s="1"/>
  <c r="B20" i="21"/>
  <c r="C20" i="21" s="1"/>
  <c r="D20" i="21" s="1"/>
  <c r="B19" i="21"/>
  <c r="C19" i="21" s="1"/>
  <c r="D19" i="21" s="1"/>
  <c r="B18" i="21"/>
  <c r="C18" i="21" s="1"/>
  <c r="D18" i="21" s="1"/>
  <c r="B17" i="21"/>
  <c r="C17" i="21" s="1"/>
  <c r="D17" i="21" s="1"/>
  <c r="B16" i="21"/>
  <c r="C16" i="21" s="1"/>
  <c r="D16" i="21" s="1"/>
  <c r="B15" i="21"/>
  <c r="C15" i="21" s="1"/>
  <c r="D15" i="21" s="1"/>
  <c r="B14" i="21"/>
  <c r="C14" i="21" s="1"/>
  <c r="D14" i="21" s="1"/>
  <c r="B13" i="21"/>
  <c r="C13" i="21" s="1"/>
  <c r="D13" i="21" s="1"/>
  <c r="C8" i="21"/>
  <c r="B15" i="20"/>
  <c r="C15" i="20" s="1"/>
  <c r="D15" i="20" s="1"/>
  <c r="B16" i="20"/>
  <c r="C16" i="20" s="1"/>
  <c r="D16" i="20" s="1"/>
  <c r="B17" i="20"/>
  <c r="C17" i="20" s="1"/>
  <c r="D17" i="20" s="1"/>
  <c r="B18" i="20"/>
  <c r="B19" i="20"/>
  <c r="C19" i="20" s="1"/>
  <c r="D19" i="20" s="1"/>
  <c r="B20" i="20"/>
  <c r="C20" i="20"/>
  <c r="D20" i="20" s="1"/>
  <c r="B21" i="20"/>
  <c r="C21" i="20"/>
  <c r="D21" i="20"/>
  <c r="B22" i="20"/>
  <c r="C22" i="20" s="1"/>
  <c r="D22" i="20" s="1"/>
  <c r="B23" i="20"/>
  <c r="C23" i="20" s="1"/>
  <c r="D23" i="20" s="1"/>
  <c r="B24" i="20"/>
  <c r="C24" i="20"/>
  <c r="D24" i="20" s="1"/>
  <c r="B25" i="20"/>
  <c r="C25" i="20"/>
  <c r="D25" i="20" s="1"/>
  <c r="B26" i="20"/>
  <c r="C26" i="20"/>
  <c r="D26" i="20" s="1"/>
  <c r="B27" i="20"/>
  <c r="C27" i="20" s="1"/>
  <c r="D27" i="20" s="1"/>
  <c r="B28" i="20"/>
  <c r="C28" i="20"/>
  <c r="D28" i="20" s="1"/>
  <c r="B29" i="20"/>
  <c r="C29" i="20"/>
  <c r="D29" i="20"/>
  <c r="B30" i="20"/>
  <c r="C30" i="20"/>
  <c r="D30" i="20"/>
  <c r="B31" i="20"/>
  <c r="C31" i="20" s="1"/>
  <c r="D31" i="20" s="1"/>
  <c r="B32" i="20"/>
  <c r="C32" i="20"/>
  <c r="D32" i="20" s="1"/>
  <c r="B14" i="20"/>
  <c r="C14" i="20" s="1"/>
  <c r="D14" i="20" s="1"/>
  <c r="B13" i="20"/>
  <c r="C13" i="20" s="1"/>
  <c r="D13" i="20" s="1"/>
  <c r="C8" i="20"/>
  <c r="C18" i="20" s="1"/>
  <c r="D18" i="20" s="1"/>
  <c r="G16" i="19"/>
  <c r="B112" i="18"/>
  <c r="G112" i="18" s="1"/>
  <c r="B111" i="18"/>
  <c r="G111" i="18" s="1"/>
  <c r="B110" i="18"/>
  <c r="G113" i="18" s="1"/>
  <c r="B96" i="18"/>
  <c r="G96" i="18" s="1"/>
  <c r="B95" i="18"/>
  <c r="G95" i="18" s="1"/>
  <c r="B94" i="18"/>
  <c r="B81" i="18"/>
  <c r="G81" i="18" s="1"/>
  <c r="B80" i="18"/>
  <c r="G80" i="18" s="1"/>
  <c r="B79" i="18"/>
  <c r="G79" i="18" s="1"/>
  <c r="B66" i="18"/>
  <c r="G66" i="18" s="1"/>
  <c r="B65" i="18"/>
  <c r="G65" i="18" s="1"/>
  <c r="B64" i="18"/>
  <c r="G67" i="18" s="1"/>
  <c r="B51" i="18"/>
  <c r="G51" i="18" s="1"/>
  <c r="B50" i="18"/>
  <c r="G50" i="18" s="1"/>
  <c r="B49" i="18"/>
  <c r="G52" i="18" s="1"/>
  <c r="G36" i="18"/>
  <c r="B35" i="18"/>
  <c r="G35" i="18" s="1"/>
  <c r="G34" i="18"/>
  <c r="B34" i="18"/>
  <c r="B33" i="18"/>
  <c r="G33" i="18" s="1"/>
  <c r="B19" i="18"/>
  <c r="G19" i="18" s="1"/>
  <c r="B18" i="18"/>
  <c r="G18" i="18" s="1"/>
  <c r="B17" i="18"/>
  <c r="G20" i="18" s="1"/>
  <c r="B90" i="17"/>
  <c r="G90" i="17" s="1"/>
  <c r="B89" i="17"/>
  <c r="G89" i="17" s="1"/>
  <c r="B77" i="17"/>
  <c r="G78" i="17" s="1"/>
  <c r="B76" i="17"/>
  <c r="G76" i="17" s="1"/>
  <c r="G65" i="17"/>
  <c r="G53" i="17"/>
  <c r="G41" i="17"/>
  <c r="B28" i="17"/>
  <c r="G28" i="17" s="1"/>
  <c r="B27" i="17"/>
  <c r="G27" i="17" s="1"/>
  <c r="G16" i="17"/>
  <c r="B84" i="16"/>
  <c r="G83" i="16"/>
  <c r="G82" i="16"/>
  <c r="G81" i="16"/>
  <c r="B72" i="16"/>
  <c r="G71" i="16"/>
  <c r="G70" i="16"/>
  <c r="G69" i="16"/>
  <c r="B60" i="16"/>
  <c r="G59" i="16"/>
  <c r="B50" i="16"/>
  <c r="G49" i="16"/>
  <c r="B40" i="16"/>
  <c r="G39" i="16"/>
  <c r="B30" i="16"/>
  <c r="G28" i="16"/>
  <c r="G27" i="16"/>
  <c r="G26" i="16"/>
  <c r="B17" i="16"/>
  <c r="G15" i="16"/>
  <c r="B51" i="14"/>
  <c r="E17" i="22"/>
  <c r="E41" i="22"/>
  <c r="E46" i="22"/>
  <c r="E48" i="22"/>
  <c r="E28" i="22"/>
  <c r="E31" i="22"/>
  <c r="E33" i="22"/>
  <c r="E18" i="22"/>
  <c r="E42" i="22"/>
  <c r="E37" i="22"/>
  <c r="E19" i="22"/>
  <c r="E43" i="22"/>
  <c r="E23" i="22"/>
  <c r="E30" i="22"/>
  <c r="E36" i="22"/>
  <c r="E40" i="22"/>
  <c r="E20" i="22"/>
  <c r="E44" i="22"/>
  <c r="E45" i="22"/>
  <c r="E47" i="22"/>
  <c r="E49" i="22"/>
  <c r="E35" i="22"/>
  <c r="E21" i="22"/>
  <c r="E22" i="22"/>
  <c r="E24" i="22"/>
  <c r="E25" i="22"/>
  <c r="E26" i="22"/>
  <c r="E50" i="22"/>
  <c r="E32" i="22"/>
  <c r="E38" i="22"/>
  <c r="E27" i="22"/>
  <c r="E39" i="22"/>
  <c r="E29" i="22"/>
  <c r="E34" i="22"/>
  <c r="E16" i="22"/>
  <c r="F46" i="22"/>
  <c r="J50" i="22"/>
  <c r="J48" i="22"/>
  <c r="L50" i="22"/>
  <c r="K48" i="22"/>
  <c r="J49" i="22"/>
  <c r="L47" i="22"/>
  <c r="I48" i="22"/>
  <c r="K50" i="22"/>
  <c r="K47" i="22"/>
  <c r="F44" i="22"/>
  <c r="L45" i="22"/>
  <c r="I46" i="22"/>
  <c r="J43" i="22"/>
  <c r="F42" i="22"/>
  <c r="J46" i="22"/>
  <c r="L48" i="22"/>
  <c r="K46" i="22"/>
  <c r="I44" i="22"/>
  <c r="J44" i="22"/>
  <c r="L46" i="22"/>
  <c r="I42" i="22"/>
  <c r="K44" i="22"/>
  <c r="L43" i="22"/>
  <c r="J42" i="22"/>
  <c r="L44" i="22"/>
  <c r="K49" i="22"/>
  <c r="J45" i="22"/>
  <c r="K42" i="22"/>
  <c r="F49" i="22"/>
  <c r="J47" i="22"/>
  <c r="I43" i="22"/>
  <c r="L42" i="22"/>
  <c r="L49" i="22"/>
  <c r="I50" i="22"/>
  <c r="F47" i="22"/>
  <c r="I45" i="22"/>
  <c r="I49" i="22"/>
  <c r="I47" i="22"/>
  <c r="K45" i="22"/>
  <c r="F45" i="22"/>
  <c r="F48" i="22"/>
  <c r="F43" i="22"/>
  <c r="K43" i="22"/>
  <c r="F40" i="22"/>
  <c r="F38" i="22"/>
  <c r="J40" i="22"/>
  <c r="K38" i="22"/>
  <c r="J36" i="22"/>
  <c r="L36" i="22"/>
  <c r="I41" i="22"/>
  <c r="I39" i="22"/>
  <c r="K39" i="22"/>
  <c r="I40" i="22"/>
  <c r="F36" i="22"/>
  <c r="K40" i="22"/>
  <c r="J38" i="22"/>
  <c r="L40" i="22"/>
  <c r="I36" i="22"/>
  <c r="L38" i="22"/>
  <c r="K36" i="22"/>
  <c r="F39" i="22"/>
  <c r="J41" i="22"/>
  <c r="K41" i="22"/>
  <c r="I37" i="22"/>
  <c r="I38" i="22"/>
  <c r="L41" i="22"/>
  <c r="J37" i="22"/>
  <c r="F41" i="22"/>
  <c r="F37" i="22"/>
  <c r="J39" i="22"/>
  <c r="L39" i="22"/>
  <c r="K37" i="22"/>
  <c r="L37" i="22"/>
  <c r="L17" i="22"/>
  <c r="L22" i="22"/>
  <c r="L33" i="22"/>
  <c r="L18" i="22"/>
  <c r="L27" i="22"/>
  <c r="L29" i="22"/>
  <c r="L35" i="22"/>
  <c r="L19" i="22"/>
  <c r="L23" i="22"/>
  <c r="L28" i="22"/>
  <c r="L30" i="22"/>
  <c r="L32" i="22"/>
  <c r="L34" i="22"/>
  <c r="L20" i="22"/>
  <c r="L21" i="22"/>
  <c r="L24" i="22"/>
  <c r="L26" i="22"/>
  <c r="L31" i="22"/>
  <c r="L25" i="22"/>
  <c r="L16" i="22"/>
  <c r="K17" i="22"/>
  <c r="K23" i="22"/>
  <c r="K27" i="22"/>
  <c r="K29" i="22"/>
  <c r="K31" i="22"/>
  <c r="K33" i="22"/>
  <c r="K35" i="22"/>
  <c r="K18" i="22"/>
  <c r="K19" i="22"/>
  <c r="K22" i="22"/>
  <c r="K26" i="22"/>
  <c r="K28" i="22"/>
  <c r="K30" i="22"/>
  <c r="K32" i="22"/>
  <c r="K34" i="22"/>
  <c r="K20" i="22"/>
  <c r="K21" i="22"/>
  <c r="K24" i="22"/>
  <c r="K25" i="22"/>
  <c r="K16" i="22"/>
  <c r="J17" i="22"/>
  <c r="J24" i="22"/>
  <c r="J28" i="22"/>
  <c r="J30" i="22"/>
  <c r="J32" i="22"/>
  <c r="J34" i="22"/>
  <c r="J35" i="22"/>
  <c r="J18" i="22"/>
  <c r="J23" i="22"/>
  <c r="J25" i="22"/>
  <c r="J26" i="22"/>
  <c r="J27" i="22"/>
  <c r="J29" i="22"/>
  <c r="J31" i="22"/>
  <c r="J33" i="22"/>
  <c r="J19" i="22"/>
  <c r="J20" i="22"/>
  <c r="J21" i="22"/>
  <c r="J22" i="22"/>
  <c r="J16" i="22"/>
  <c r="I17" i="22"/>
  <c r="I23" i="22"/>
  <c r="I28" i="22"/>
  <c r="I34" i="22"/>
  <c r="I18" i="22"/>
  <c r="I24" i="22"/>
  <c r="I33" i="22"/>
  <c r="I19" i="22"/>
  <c r="I20" i="22"/>
  <c r="I27" i="22"/>
  <c r="I29" i="22"/>
  <c r="I31" i="22"/>
  <c r="I21" i="22"/>
  <c r="I22" i="22"/>
  <c r="I25" i="22"/>
  <c r="I35" i="22"/>
  <c r="I26" i="22"/>
  <c r="I32" i="22"/>
  <c r="I30" i="22"/>
  <c r="I16" i="22"/>
  <c r="F17" i="22"/>
  <c r="F23" i="22"/>
  <c r="F26" i="22"/>
  <c r="F29" i="22"/>
  <c r="F31" i="22"/>
  <c r="F33" i="22"/>
  <c r="F35" i="22"/>
  <c r="F18" i="22"/>
  <c r="F21" i="22"/>
  <c r="F22" i="22"/>
  <c r="F24" i="22"/>
  <c r="F25" i="22"/>
  <c r="F27" i="22"/>
  <c r="F28" i="22"/>
  <c r="F30" i="22"/>
  <c r="F32" i="22"/>
  <c r="F34" i="22"/>
  <c r="F19" i="22"/>
  <c r="F20" i="22"/>
  <c r="F16" i="22"/>
  <c r="E25" i="20"/>
  <c r="G26" i="21"/>
  <c r="H18" i="20"/>
  <c r="F13" i="21"/>
  <c r="B92" i="12"/>
  <c r="F16" i="20"/>
  <c r="E27" i="21"/>
  <c r="F27" i="20"/>
  <c r="E26" i="21"/>
  <c r="E22" i="21"/>
  <c r="H24" i="20"/>
  <c r="H14" i="20"/>
  <c r="E27" i="20"/>
  <c r="B23" i="18"/>
  <c r="H25" i="20"/>
  <c r="E29" i="20"/>
  <c r="G14" i="20"/>
  <c r="G21" i="20"/>
  <c r="H21" i="21"/>
  <c r="B99" i="18"/>
  <c r="E18" i="20"/>
  <c r="H28" i="20"/>
  <c r="F27" i="21"/>
  <c r="E13" i="20"/>
  <c r="G29" i="20"/>
  <c r="G30" i="20"/>
  <c r="H31" i="20"/>
  <c r="G14" i="21"/>
  <c r="E21" i="21"/>
  <c r="H17" i="20"/>
  <c r="E24" i="20"/>
  <c r="H22" i="21"/>
  <c r="F20" i="20"/>
  <c r="H32" i="21"/>
  <c r="F22" i="21"/>
  <c r="F15" i="21"/>
  <c r="G20" i="20"/>
  <c r="G13" i="21"/>
  <c r="B79" i="17"/>
  <c r="H13" i="20"/>
  <c r="H16" i="20"/>
  <c r="H15" i="20"/>
  <c r="G24" i="21"/>
  <c r="H14" i="21"/>
  <c r="B92" i="17"/>
  <c r="B17" i="19"/>
  <c r="G29" i="21"/>
  <c r="F19" i="20"/>
  <c r="E15" i="21"/>
  <c r="E19" i="21"/>
  <c r="H16" i="21"/>
  <c r="E30" i="21"/>
  <c r="G15" i="21"/>
  <c r="E31" i="20"/>
  <c r="E14" i="20"/>
  <c r="F28" i="20"/>
  <c r="F32" i="20"/>
  <c r="E16" i="21"/>
  <c r="G23" i="20"/>
  <c r="B79" i="12"/>
  <c r="F29" i="20"/>
  <c r="E30" i="20"/>
  <c r="G17" i="21"/>
  <c r="B42" i="17"/>
  <c r="F20" i="21"/>
  <c r="B66" i="17"/>
  <c r="H25" i="21"/>
  <c r="F26" i="21"/>
  <c r="H29" i="20"/>
  <c r="F22" i="20"/>
  <c r="H26" i="21"/>
  <c r="B115" i="18"/>
  <c r="G32" i="20"/>
  <c r="G31" i="21"/>
  <c r="F28" i="21"/>
  <c r="E21" i="20"/>
  <c r="H28" i="21"/>
  <c r="B69" i="18"/>
  <c r="H21" i="20"/>
  <c r="G28" i="21"/>
  <c r="E16" i="20"/>
  <c r="H30" i="20"/>
  <c r="E18" i="21"/>
  <c r="H26" i="20"/>
  <c r="G16" i="20"/>
  <c r="E22" i="20"/>
  <c r="G19" i="20"/>
  <c r="H23" i="20"/>
  <c r="E19" i="20"/>
  <c r="B18" i="17"/>
  <c r="E32" i="21"/>
  <c r="G18" i="21"/>
  <c r="G27" i="20"/>
  <c r="B66" i="12"/>
  <c r="F16" i="21"/>
  <c r="G27" i="21"/>
  <c r="F18" i="21"/>
  <c r="G24" i="20"/>
  <c r="B39" i="18"/>
  <c r="F32" i="21"/>
  <c r="H27" i="21"/>
  <c r="E20" i="21"/>
  <c r="E28" i="21"/>
  <c r="G25" i="20"/>
  <c r="G20" i="21"/>
  <c r="G13" i="20"/>
  <c r="F31" i="21"/>
  <c r="E32" i="20"/>
  <c r="F19" i="21"/>
  <c r="E14" i="21"/>
  <c r="H20" i="20"/>
  <c r="H29" i="21"/>
  <c r="F30" i="20"/>
  <c r="E31" i="21"/>
  <c r="F24" i="20"/>
  <c r="E29" i="21"/>
  <c r="E26" i="20"/>
  <c r="G18" i="20"/>
  <c r="F21" i="20"/>
  <c r="E17" i="21"/>
  <c r="B54" i="18"/>
  <c r="G16" i="21"/>
  <c r="H31" i="21"/>
  <c r="E28" i="20"/>
  <c r="F25" i="21"/>
  <c r="H22" i="20"/>
  <c r="F25" i="20"/>
  <c r="G15" i="20"/>
  <c r="G23" i="21"/>
  <c r="F14" i="21"/>
  <c r="G22" i="20"/>
  <c r="G19" i="21"/>
  <c r="B54" i="12"/>
  <c r="E24" i="21"/>
  <c r="G25" i="21"/>
  <c r="G22" i="21"/>
  <c r="B54" i="17"/>
  <c r="F14" i="20"/>
  <c r="H17" i="21"/>
  <c r="F23" i="20"/>
  <c r="G31" i="20"/>
  <c r="G26" i="20"/>
  <c r="G30" i="21"/>
  <c r="F21" i="21"/>
  <c r="F29" i="21"/>
  <c r="G32" i="21"/>
  <c r="H27" i="20"/>
  <c r="H19" i="21"/>
  <c r="F17" i="20"/>
  <c r="F30" i="21"/>
  <c r="H30" i="21"/>
  <c r="F17" i="21"/>
  <c r="E25" i="21"/>
  <c r="G17" i="20"/>
  <c r="E13" i="21"/>
  <c r="H18" i="21"/>
  <c r="H19" i="20"/>
  <c r="H20" i="21"/>
  <c r="H32" i="20"/>
  <c r="G28" i="20"/>
  <c r="H23" i="21"/>
  <c r="G21" i="21"/>
  <c r="F31" i="20"/>
  <c r="E20" i="20"/>
  <c r="H13" i="21"/>
  <c r="F13" i="20"/>
  <c r="F26" i="20"/>
  <c r="F24" i="21"/>
  <c r="F18" i="20"/>
  <c r="E23" i="20"/>
  <c r="H15" i="21"/>
  <c r="H24" i="21"/>
  <c r="E17" i="20"/>
  <c r="B31" i="17"/>
  <c r="F15" i="20"/>
  <c r="B84" i="18"/>
  <c r="E15" i="20"/>
  <c r="G16" i="22" l="1"/>
  <c r="G34" i="22"/>
  <c r="G29" i="22"/>
  <c r="G39" i="22"/>
  <c r="G27" i="22"/>
  <c r="G38" i="22"/>
  <c r="G32" i="22"/>
  <c r="G50" i="22"/>
  <c r="G26" i="22"/>
  <c r="G25" i="22"/>
  <c r="G24" i="22"/>
  <c r="G22" i="22"/>
  <c r="G21" i="22"/>
  <c r="G35" i="22"/>
  <c r="G49" i="22"/>
  <c r="G47" i="22"/>
  <c r="G45" i="22"/>
  <c r="G44" i="22"/>
  <c r="G20" i="22"/>
  <c r="H20" i="22" s="1"/>
  <c r="G40" i="22"/>
  <c r="H40" i="22" s="1"/>
  <c r="G36" i="22"/>
  <c r="H36" i="22" s="1"/>
  <c r="G30" i="22"/>
  <c r="H30" i="22" s="1"/>
  <c r="G23" i="22"/>
  <c r="H23" i="22" s="1"/>
  <c r="G43" i="22"/>
  <c r="H43" i="22" s="1"/>
  <c r="G19" i="22"/>
  <c r="G37" i="22"/>
  <c r="G42" i="22"/>
  <c r="G18" i="22"/>
  <c r="G33" i="22"/>
  <c r="G31" i="22"/>
  <c r="G28" i="22"/>
  <c r="G48" i="22"/>
  <c r="G46" i="22"/>
  <c r="H46" i="22" s="1"/>
  <c r="G41" i="22"/>
  <c r="H41" i="22" s="1"/>
  <c r="G17" i="22"/>
  <c r="H17" i="22" s="1"/>
  <c r="H39" i="22"/>
  <c r="H27" i="22"/>
  <c r="H38" i="22"/>
  <c r="H50" i="22"/>
  <c r="H26" i="22"/>
  <c r="H25" i="22"/>
  <c r="H24" i="22"/>
  <c r="H21" i="22"/>
  <c r="H35" i="22"/>
  <c r="H49" i="22"/>
  <c r="H47" i="22"/>
  <c r="H45" i="22"/>
  <c r="H44" i="22"/>
  <c r="H33" i="22"/>
  <c r="H16" i="22"/>
  <c r="H19" i="22"/>
  <c r="H34" i="22"/>
  <c r="H32" i="22"/>
  <c r="H28" i="22"/>
  <c r="H22" i="22"/>
  <c r="H18" i="22"/>
  <c r="H31" i="22"/>
  <c r="H29" i="22"/>
  <c r="H48" i="22"/>
  <c r="H42" i="22"/>
  <c r="H37" i="22"/>
  <c r="C38" i="22"/>
  <c r="D38" i="22" s="1"/>
  <c r="C33" i="22"/>
  <c r="C34" i="22"/>
  <c r="C16" i="22"/>
  <c r="C17" i="22"/>
  <c r="C19" i="22"/>
  <c r="C20" i="22"/>
  <c r="C21" i="22"/>
  <c r="C22" i="22"/>
  <c r="C23" i="22"/>
  <c r="C24" i="22"/>
  <c r="C26" i="22"/>
  <c r="C27" i="22"/>
  <c r="C28" i="22"/>
  <c r="C29" i="22"/>
  <c r="C30" i="22"/>
  <c r="C31" i="22"/>
  <c r="C32" i="22"/>
  <c r="C35" i="22"/>
  <c r="C18" i="22"/>
  <c r="C24" i="21"/>
  <c r="D24" i="21" s="1"/>
  <c r="G82" i="18"/>
  <c r="G97" i="18"/>
  <c r="C23" i="21"/>
  <c r="G94" i="18"/>
  <c r="G49" i="18"/>
  <c r="G17" i="18"/>
  <c r="G64" i="18"/>
  <c r="G110" i="18"/>
  <c r="G77" i="17"/>
  <c r="G29" i="17"/>
  <c r="G91" i="17"/>
  <c r="G16" i="15"/>
  <c r="B112" i="14"/>
  <c r="G112" i="14" s="1"/>
  <c r="B111" i="14"/>
  <c r="G111" i="14" s="1"/>
  <c r="B110" i="14"/>
  <c r="B96" i="14"/>
  <c r="G96" i="14" s="1"/>
  <c r="B95" i="14"/>
  <c r="G95" i="14" s="1"/>
  <c r="B94" i="14"/>
  <c r="B81" i="14"/>
  <c r="G81" i="14" s="1"/>
  <c r="B80" i="14"/>
  <c r="G80" i="14" s="1"/>
  <c r="B79" i="14"/>
  <c r="B66" i="14"/>
  <c r="G66" i="14" s="1"/>
  <c r="B65" i="14"/>
  <c r="G65" i="14" s="1"/>
  <c r="B64" i="14"/>
  <c r="G64" i="14" s="1"/>
  <c r="G51" i="14"/>
  <c r="B50" i="14"/>
  <c r="G50" i="14" s="1"/>
  <c r="B49" i="14"/>
  <c r="G49" i="14" s="1"/>
  <c r="B34" i="14"/>
  <c r="G34" i="14" s="1"/>
  <c r="B18" i="14"/>
  <c r="G18" i="14" s="1"/>
  <c r="B35" i="14"/>
  <c r="G35" i="14" s="1"/>
  <c r="B33" i="14"/>
  <c r="B19" i="14"/>
  <c r="G19" i="14" s="1"/>
  <c r="B17" i="14"/>
  <c r="G17" i="14" s="1"/>
  <c r="B84" i="13"/>
  <c r="B72" i="13"/>
  <c r="G71" i="13"/>
  <c r="G83" i="13"/>
  <c r="B60" i="13"/>
  <c r="G59" i="13"/>
  <c r="B50" i="13"/>
  <c r="G49" i="13"/>
  <c r="B40" i="13"/>
  <c r="G39" i="13"/>
  <c r="B30" i="13"/>
  <c r="G28" i="13"/>
  <c r="B17" i="13"/>
  <c r="G15" i="13"/>
  <c r="G82" i="13"/>
  <c r="G70" i="13"/>
  <c r="G27" i="13"/>
  <c r="B90" i="12"/>
  <c r="G90" i="12" s="1"/>
  <c r="B89" i="12"/>
  <c r="B77" i="12"/>
  <c r="G77" i="12" s="1"/>
  <c r="B76" i="12"/>
  <c r="G76" i="12" s="1"/>
  <c r="G65" i="12"/>
  <c r="G53" i="12"/>
  <c r="G41" i="12"/>
  <c r="G16" i="12"/>
  <c r="B28" i="12"/>
  <c r="G28" i="12" s="1"/>
  <c r="B27" i="12"/>
  <c r="G27" i="12" s="1"/>
  <c r="B39" i="14"/>
  <c r="E23" i="21"/>
  <c r="B115" i="14"/>
  <c r="B84" i="14"/>
  <c r="B54" i="14"/>
  <c r="B23" i="14"/>
  <c r="B99" i="14"/>
  <c r="B42" i="12"/>
  <c r="B17" i="15"/>
  <c r="B69" i="14"/>
  <c r="F23" i="21"/>
  <c r="D34" i="22" l="1"/>
  <c r="D33" i="22"/>
  <c r="D20" i="22"/>
  <c r="D19" i="22"/>
  <c r="D17" i="22"/>
  <c r="D32" i="22"/>
  <c r="D31" i="22"/>
  <c r="D30" i="22"/>
  <c r="D29" i="22"/>
  <c r="D28" i="22"/>
  <c r="D27" i="22"/>
  <c r="D26" i="22"/>
  <c r="D24" i="22"/>
  <c r="D23" i="22"/>
  <c r="D22" i="22"/>
  <c r="D21" i="22"/>
  <c r="D16" i="22"/>
  <c r="D18" i="22"/>
  <c r="D35" i="22"/>
  <c r="G113" i="14"/>
  <c r="D23" i="21"/>
  <c r="G97" i="14"/>
  <c r="G82" i="14"/>
  <c r="G36" i="14"/>
  <c r="G110" i="14"/>
  <c r="G94" i="14"/>
  <c r="G20" i="14"/>
  <c r="G67" i="14"/>
  <c r="G79" i="14"/>
  <c r="G52" i="14"/>
  <c r="G33" i="14"/>
  <c r="G26" i="13"/>
  <c r="G69" i="13"/>
  <c r="G81" i="13"/>
  <c r="G91" i="12"/>
  <c r="G89" i="12"/>
  <c r="G29" i="12"/>
  <c r="G78" i="12"/>
  <c r="B31" i="12"/>
  <c r="B18" i="12"/>
</calcChain>
</file>

<file path=xl/sharedStrings.xml><?xml version="1.0" encoding="utf-8"?>
<sst xmlns="http://schemas.openxmlformats.org/spreadsheetml/2006/main" count="1000" uniqueCount="226">
  <si>
    <t>a</t>
  </si>
  <si>
    <t>c</t>
  </si>
  <si>
    <t>n</t>
  </si>
  <si>
    <t>lambda</t>
  </si>
  <si>
    <t>mu</t>
  </si>
  <si>
    <t>t</t>
  </si>
  <si>
    <t>nu</t>
  </si>
  <si>
    <t>K</t>
  </si>
  <si>
    <t>MMcZustandsP(a,c,n)</t>
  </si>
  <si>
    <t>ErlangC(lambda,mu,c,t)</t>
  </si>
  <si>
    <t>ErlangC_P1(a,c)</t>
  </si>
  <si>
    <t>Blockierwahrscheinlichkeit (=P(W&gt;0))</t>
  </si>
  <si>
    <r>
      <t>Zustandswahrscheinlichkeiten (=p</t>
    </r>
    <r>
      <rPr>
        <b/>
        <vertAlign val="subscript"/>
        <sz val="13"/>
        <color theme="1"/>
        <rFont val="Calibri"/>
        <family val="2"/>
        <scheme val="minor"/>
      </rPr>
      <t>n</t>
    </r>
    <r>
      <rPr>
        <b/>
        <sz val="13"/>
        <color theme="1"/>
        <rFont val="Calibri"/>
        <family val="2"/>
        <scheme val="minor"/>
      </rPr>
      <t>)</t>
    </r>
  </si>
  <si>
    <t>Wartezeitverteilung (Erlang-C-Formel, =P(W&lt;=t))</t>
  </si>
  <si>
    <r>
      <t xml:space="preserve">Parameter: Arbeitslast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=lambda/mu und Anzahl an Agenten </t>
    </r>
    <r>
      <rPr>
        <b/>
        <sz val="11"/>
        <color theme="1"/>
        <rFont val="Calibri"/>
        <family val="2"/>
        <scheme val="minor"/>
      </rPr>
      <t>c</t>
    </r>
  </si>
  <si>
    <t>Personen im System</t>
  </si>
  <si>
    <t>Arbeitslast (=lambda/mu)</t>
  </si>
  <si>
    <t>Wahrscheinlichkeit für n Kunden</t>
  </si>
  <si>
    <t>Ergebnis</t>
  </si>
  <si>
    <t>Ankunftsrate (in 1/Sekunde)</t>
  </si>
  <si>
    <t>Bedienrate (in 1/Sekunde)</t>
  </si>
  <si>
    <t>Wahrscheinlichkeit für Wartezeit &lt;=t</t>
  </si>
  <si>
    <t>=&gt; E[I]=</t>
  </si>
  <si>
    <t>=&gt; E[S]=</t>
  </si>
  <si>
    <t>=&gt; rho=</t>
  </si>
  <si>
    <t>Auslastung</t>
  </si>
  <si>
    <t>Mittlere Zwischenankunftszeit (in Sekunden)</t>
  </si>
  <si>
    <t>Mittlere Bedienzeit (in Sekunden)</t>
  </si>
  <si>
    <t>ErlangC_P1(a,c)*a/(c-a)</t>
  </si>
  <si>
    <r>
      <t>Mittlere Warteschlangenlänge (=E[N</t>
    </r>
    <r>
      <rPr>
        <b/>
        <vertAlign val="subscript"/>
        <sz val="13"/>
        <color theme="1"/>
        <rFont val="Calibri"/>
        <family val="2"/>
        <scheme val="minor"/>
      </rPr>
      <t>Q</t>
    </r>
    <r>
      <rPr>
        <b/>
        <sz val="13"/>
        <color theme="1"/>
        <rFont val="Calibri"/>
        <family val="2"/>
        <scheme val="minor"/>
      </rPr>
      <t>])</t>
    </r>
  </si>
  <si>
    <t>Mittlere Anzahl an Kunden im System (=E[N])</t>
  </si>
  <si>
    <t>ErlangC_P1(a,c)*a/(c-a)+a</t>
  </si>
  <si>
    <t>Mittlere Wartezeit (=E[W])</t>
  </si>
  <si>
    <t>Exponentielle Zwischenankunftszeiten (mittlerer Abstand zwischen zwei Kundenankünften E[I]=1/lambda)</t>
  </si>
  <si>
    <t>Exponentielle Bedienzeiten (mittlere Bedienzeit E[S]=1/mu)</t>
  </si>
  <si>
    <t>Keine Beschränkung der Warte- und Bedienraumgröße</t>
  </si>
  <si>
    <t>ErlangC_P1(lambda/mu,c)/(c*mu-lambda)</t>
  </si>
  <si>
    <r>
      <t xml:space="preserve">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1/Sekunde),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1/Sekunde) und Anzahl an Agenten </t>
    </r>
    <r>
      <rPr>
        <b/>
        <sz val="11"/>
        <color theme="1"/>
        <rFont val="Calibri"/>
        <family val="2"/>
        <scheme val="minor"/>
      </rPr>
      <t>c</t>
    </r>
  </si>
  <si>
    <t>Wahrscheinlichkeit, dass ein Kunde warten muss</t>
  </si>
  <si>
    <t>Mittlere Warteschlangenlänge</t>
  </si>
  <si>
    <t>Mittlere Anzahl an Kunden im System</t>
  </si>
  <si>
    <t>Mittlere Wartezeit (in Sekunden)</t>
  </si>
  <si>
    <t>Wartezeit höchstens so lang (in Sekunden)</t>
  </si>
  <si>
    <t>Mittlere Verweilzeit (=E[V])</t>
  </si>
  <si>
    <t>ErlangC_P1(lambda/mu,c)/(c*mu-lambda)+1/mu</t>
  </si>
  <si>
    <t>Mittlere Verweilzeit (in Sekunden)</t>
  </si>
  <si>
    <t>M/M/1-System</t>
  </si>
  <si>
    <t>a^n(1-a)</t>
  </si>
  <si>
    <t>Wartezeitverteilung (=P(W&lt;=t))</t>
  </si>
  <si>
    <t>1-lambda/mu*EXP((lambda-mu)*t)</t>
  </si>
  <si>
    <t>a^2/(1-a)</t>
  </si>
  <si>
    <r>
      <t xml:space="preserve">Parameter: Arbeitslast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=lambda/mu</t>
    </r>
  </si>
  <si>
    <t>a/(1-a)</t>
  </si>
  <si>
    <t>lambda/mu/(mu-lambda)</t>
  </si>
  <si>
    <t>1/(mu-lambda)</t>
  </si>
  <si>
    <r>
      <t xml:space="preserve">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1/Sekunde) und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1/Sekunde)</t>
    </r>
  </si>
  <si>
    <t>Exponentielle Wartezeittoleranzen (mittlere Wartezeittoleranz E[WT]=1/nu)</t>
  </si>
  <si>
    <t>MMcKMZustandsP(lambda,mu,nu,c,K,n)</t>
  </si>
  <si>
    <t>Mittlere Wartezeittoleranz (in Sekunden)</t>
  </si>
  <si>
    <t>Warte- und Bedienraumgröße</t>
  </si>
  <si>
    <t>ErwErlangC(lambda,mu,nu,c,K,t)</t>
  </si>
  <si>
    <t>Wartezeitverteilung (Erweiterte Erlang-C-Formel, =P(W&lt;=t))</t>
  </si>
  <si>
    <t>=&gt; E[WT]=</t>
  </si>
  <si>
    <t>Wahrscheinlichkeit für Warteabbruch (=P(A))</t>
  </si>
  <si>
    <t>ErwErlangC_PA(lambda,mu,nu,c,K)</t>
  </si>
  <si>
    <r>
      <t xml:space="preserve">Parameter: Ankunftsrate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1/Sekunden), Bedienrate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1/Sekunden),</t>
    </r>
  </si>
  <si>
    <t>Wahrscheinlichkeit, dass ein Kunde das Warten aufgibt</t>
  </si>
  <si>
    <t>ErwErlangC_ENQ(lambda,mu,nu,c,K)</t>
  </si>
  <si>
    <t>ErwErlangC_EN(lambda,mu,nu,c,K)</t>
  </si>
  <si>
    <t>ErwErlangC_EW(lambda,mu,nu,c,K)</t>
  </si>
  <si>
    <t>ErwErlangC_EV(lambda,mu,nu,c,K)</t>
  </si>
  <si>
    <r>
      <rPr>
        <b/>
        <sz val="11"/>
        <color theme="1"/>
        <rFont val="Calibri"/>
        <family val="2"/>
        <scheme val="minor"/>
      </rPr>
      <t>Achtung:</t>
    </r>
    <r>
      <rPr>
        <sz val="11"/>
        <color theme="1"/>
        <rFont val="Calibri"/>
        <family val="2"/>
        <scheme val="minor"/>
      </rPr>
      <t xml:space="preserve"> Hier geht auch die Abbruchzeit der Warteabbrecher mit ein.</t>
    </r>
  </si>
  <si>
    <t>Warte- und Bedienraumgröße: c (d.h. keine Warteschlange; ist kein Bediener frei, wird der Kunde abgewiesen)</t>
  </si>
  <si>
    <r>
      <t>Verlustwahrscheinlichkeiten (=p</t>
    </r>
    <r>
      <rPr>
        <b/>
        <vertAlign val="subscript"/>
        <sz val="13"/>
        <color theme="1"/>
        <rFont val="Calibri"/>
        <family val="2"/>
        <scheme val="minor"/>
      </rPr>
      <t>c</t>
    </r>
    <r>
      <rPr>
        <b/>
        <sz val="13"/>
        <color theme="1"/>
        <rFont val="Calibri"/>
        <family val="2"/>
        <scheme val="minor"/>
      </rPr>
      <t>)</t>
    </r>
  </si>
  <si>
    <t>ErlangB(a,c)</t>
  </si>
  <si>
    <t>ErlangC_ENQ(a,c)</t>
  </si>
  <si>
    <t>ErlangC_EW(lambda,mu,c)</t>
  </si>
  <si>
    <t>ErlangC_EN(a,c)</t>
  </si>
  <si>
    <t>ErlangC_EV(lambda,mu,c)</t>
  </si>
  <si>
    <t>M/M/1 system</t>
  </si>
  <si>
    <t>Exponential inter-arrival times (average distance between two customer arrivals E[I]=1/lambda)</t>
  </si>
  <si>
    <t>Exponential operating times (average operating time E[S]=1/mu)</t>
  </si>
  <si>
    <t>Ein Bediener</t>
  </si>
  <si>
    <t>One operator</t>
  </si>
  <si>
    <t>No restriction on the size of the waiting and service room</t>
  </si>
  <si>
    <r>
      <t>State probabilities (=p</t>
    </r>
    <r>
      <rPr>
        <b/>
        <vertAlign val="subscript"/>
        <sz val="13"/>
        <color theme="1"/>
        <rFont val="Calibri"/>
        <family val="2"/>
        <scheme val="minor"/>
      </rPr>
      <t>n</t>
    </r>
    <r>
      <rPr>
        <b/>
        <sz val="13"/>
        <color theme="1"/>
        <rFont val="Calibri"/>
        <family val="2"/>
        <scheme val="minor"/>
      </rPr>
      <t>)</t>
    </r>
  </si>
  <si>
    <r>
      <t xml:space="preserve">Gibt an, mit welcher Wahrscheinlichkeit sich </t>
    </r>
    <r>
      <rPr>
        <b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Personen im System befinden.</t>
    </r>
  </si>
  <si>
    <t>Result</t>
  </si>
  <si>
    <t>Workload (=lambda/mu)</t>
  </si>
  <si>
    <t>People in the system</t>
  </si>
  <si>
    <t>Probability for n customers</t>
  </si>
  <si>
    <t>Workload</t>
  </si>
  <si>
    <t>Waiting time distribution (=P(W&lt;=t))</t>
  </si>
  <si>
    <r>
      <t xml:space="preserve">Gibt an, mit welcher Wahrscheinlichkeit ein Kunde höchstens 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Sekunden warten muss.</t>
    </r>
  </si>
  <si>
    <r>
      <t xml:space="preserve">Parameter: Workload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=lambda/mu</t>
    </r>
  </si>
  <si>
    <t>Arrival rate (in 1/seconds)</t>
  </si>
  <si>
    <t>Service rate (in 1/seconds)</t>
  </si>
  <si>
    <t>Average inter-arrival time (in seconds)</t>
  </si>
  <si>
    <t>Average service time (in seconds)</t>
  </si>
  <si>
    <t>Maximum waiting time (in seconds)</t>
  </si>
  <si>
    <t>Probability for waiting time &lt;=t</t>
  </si>
  <si>
    <t>Blocking probability (=P(W&gt;0))</t>
  </si>
  <si>
    <t>Indicates the probability of a customer having to wait.</t>
  </si>
  <si>
    <t>Gibt an mit welcher Wahrscheinlichkeit ein Kunde warten muss.</t>
  </si>
  <si>
    <t>Gibt die mittlere Warteschlangenlänge an.</t>
  </si>
  <si>
    <t>Indicates the average queue length.</t>
  </si>
  <si>
    <r>
      <t>Average queue length (=E[N</t>
    </r>
    <r>
      <rPr>
        <b/>
        <vertAlign val="subscript"/>
        <sz val="13"/>
        <color theme="1"/>
        <rFont val="Calibri"/>
        <family val="2"/>
        <scheme val="minor"/>
      </rPr>
      <t>Q</t>
    </r>
    <r>
      <rPr>
        <b/>
        <sz val="13"/>
        <color theme="1"/>
        <rFont val="Calibri"/>
        <family val="2"/>
        <scheme val="minor"/>
      </rPr>
      <t>])</t>
    </r>
  </si>
  <si>
    <t>Average number of customers in the system (=E[N])</t>
  </si>
  <si>
    <t>Average waiting time (=E[W])</t>
  </si>
  <si>
    <t>Average residence time (=E[V])</t>
  </si>
  <si>
    <t>Gibt die mittlere Anzahl an Kunden im System (wartend und in Bedienung) an.</t>
  </si>
  <si>
    <t>Gibt die mittlere Wartezeit der Kunden an.</t>
  </si>
  <si>
    <t>Gibt die mittlere Verweilzeit (=Wartezeit+Bedienzeit) der Kunden an.</t>
  </si>
  <si>
    <t>Indicates the average number of customers in the system (waiting and in service process).</t>
  </si>
  <si>
    <t>Indicates the average waiting time of customers.</t>
  </si>
  <si>
    <t>Indicates the average residence time (=waiting time + service time) of customers.</t>
  </si>
  <si>
    <t>M/M/c/c-System (Erlang-B)</t>
  </si>
  <si>
    <t>c&gt;=1 operators</t>
  </si>
  <si>
    <t>c&gt;=1 Bediener</t>
  </si>
  <si>
    <t>Waiting time distribution(Erlang C formula, =P(W&lt;=t))</t>
  </si>
  <si>
    <t>Anzahl an Bedienern</t>
  </si>
  <si>
    <r>
      <t xml:space="preserve">Indicates the probability that </t>
    </r>
    <r>
      <rPr>
        <b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people are in the system.</t>
    </r>
  </si>
  <si>
    <r>
      <t xml:space="preserve">Indicates the probability of a customer having to wait a maximum of 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seconds.</t>
    </r>
  </si>
  <si>
    <t>Probability of a customer having to wait</t>
  </si>
  <si>
    <t>Average queue length</t>
  </si>
  <si>
    <t>Average number of customers in the system</t>
  </si>
  <si>
    <t>Average waiting time (in seconds)</t>
  </si>
  <si>
    <t>Average residence time (in seconds)</t>
  </si>
  <si>
    <t>Number of operators</t>
  </si>
  <si>
    <r>
      <t xml:space="preserve">Parameters: Workload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=lambda/mu</t>
    </r>
  </si>
  <si>
    <r>
      <t xml:space="preserve">Parameters: Arrival 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1/seconds) and service 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1/seconds)</t>
    </r>
  </si>
  <si>
    <r>
      <t xml:space="preserve">Parameters: Workload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=lambda/mu and number of operators </t>
    </r>
    <r>
      <rPr>
        <b/>
        <sz val="11"/>
        <color theme="1"/>
        <rFont val="Calibri"/>
        <family val="2"/>
        <scheme val="minor"/>
      </rPr>
      <t>c</t>
    </r>
  </si>
  <si>
    <r>
      <t xml:space="preserve">Parameters: Arrival 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1/seconds), service 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1/seconds) and number of operators </t>
    </r>
    <r>
      <rPr>
        <b/>
        <sz val="11"/>
        <color theme="1"/>
        <rFont val="Calibri"/>
        <family val="2"/>
        <scheme val="minor"/>
      </rPr>
      <t>c</t>
    </r>
  </si>
  <si>
    <t>Exponential waiting time tolerances (average waiting time tolerance E[WT]=1/nu)</t>
  </si>
  <si>
    <t>Gibt an mit welcher Wahrscheinlichkeit ein Kunde das Warten aufgibt.</t>
  </si>
  <si>
    <t>Waiting time distribution(extended Erlang C formula, =P(W&lt;=t))</t>
  </si>
  <si>
    <t>Cancelation rate (in 1/seconds)</t>
  </si>
  <si>
    <t>Abbruchrate (in 1/Sekunde)</t>
  </si>
  <si>
    <t>Waiting and service room size</t>
  </si>
  <si>
    <t>Average waiting time tolerance (in seconds)</t>
  </si>
  <si>
    <t>Auslastung (gemessen am Systemeingang)</t>
  </si>
  <si>
    <t>Waiting and service room size: K (if there are K customers in the system, the next arriving customer will be rejected)</t>
  </si>
  <si>
    <t>Warte- und Bedienraumgröße: K (sind K Kunden im System, wird der nächste eintrffende Kunde abgewiesen)</t>
  </si>
  <si>
    <r>
      <t xml:space="preserve">Parameters: Arrival rate </t>
    </r>
    <r>
      <rPr>
        <b/>
        <sz val="11"/>
        <color theme="1"/>
        <rFont val="Calibri"/>
        <family val="2"/>
        <scheme val="minor"/>
      </rPr>
      <t>lambda</t>
    </r>
    <r>
      <rPr>
        <sz val="11"/>
        <color theme="1"/>
        <rFont val="Calibri"/>
        <family val="2"/>
        <scheme val="minor"/>
      </rPr>
      <t xml:space="preserve"> (in 1/seconds), service rate </t>
    </r>
    <r>
      <rPr>
        <b/>
        <sz val="11"/>
        <color theme="1"/>
        <rFont val="Calibri"/>
        <family val="2"/>
        <scheme val="minor"/>
      </rPr>
      <t>mu</t>
    </r>
    <r>
      <rPr>
        <sz val="11"/>
        <color theme="1"/>
        <rFont val="Calibri"/>
        <family val="2"/>
        <scheme val="minor"/>
      </rPr>
      <t xml:space="preserve"> (in 1/seconds),</t>
    </r>
  </si>
  <si>
    <r>
      <t xml:space="preserve">cancelation rate </t>
    </r>
    <r>
      <rPr>
        <b/>
        <sz val="11"/>
        <color theme="1"/>
        <rFont val="Calibri"/>
        <family val="2"/>
        <scheme val="minor"/>
      </rPr>
      <t>nu</t>
    </r>
    <r>
      <rPr>
        <sz val="11"/>
        <color theme="1"/>
        <rFont val="Calibri"/>
        <family val="2"/>
        <scheme val="minor"/>
      </rPr>
      <t xml:space="preserve"> (in 1/seconds), number of operators </t>
    </r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and waiting and service room size </t>
    </r>
    <r>
      <rPr>
        <b/>
        <sz val="11"/>
        <color theme="1"/>
        <rFont val="Calibri"/>
        <family val="2"/>
        <scheme val="minor"/>
      </rPr>
      <t>K</t>
    </r>
  </si>
  <si>
    <r>
      <t xml:space="preserve">Abbruchrate </t>
    </r>
    <r>
      <rPr>
        <b/>
        <sz val="11"/>
        <color theme="1"/>
        <rFont val="Calibri"/>
        <family val="2"/>
        <scheme val="minor"/>
      </rPr>
      <t>nu</t>
    </r>
    <r>
      <rPr>
        <sz val="11"/>
        <color theme="1"/>
        <rFont val="Calibri"/>
        <family val="2"/>
        <scheme val="minor"/>
      </rPr>
      <t xml:space="preserve"> (in 1/Sekunden), Anzahl an Bedienern </t>
    </r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und Warte- und Bedienraumgröße </t>
    </r>
    <r>
      <rPr>
        <b/>
        <sz val="11"/>
        <color theme="1"/>
        <rFont val="Calibri"/>
        <family val="2"/>
        <scheme val="minor"/>
      </rPr>
      <t>K</t>
    </r>
  </si>
  <si>
    <t>Indicates the probability of a customer giving up waiting.</t>
  </si>
  <si>
    <t>Probability that a customer will give up waiting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</si>
  <si>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This also includes the cancellation time of the customers who canceled waiting.</t>
    </r>
  </si>
  <si>
    <r>
      <t xml:space="preserve">Gibt an, mit welcher Wahrscheinlichkeit sich </t>
    </r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Personen im System befinden.</t>
    </r>
  </si>
  <si>
    <t>Waiting and service room size: c (i.e. no queue; if no operator is free, the customer is rejected)</t>
  </si>
  <si>
    <t>Utilization (measured at system entry)</t>
  </si>
  <si>
    <r>
      <t xml:space="preserve">Indicates the probability that </t>
    </r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people are in the system.</t>
    </r>
  </si>
  <si>
    <t>Utilization</t>
  </si>
  <si>
    <t>M/M/c/K+M-System (erweitertes Erlang-C-Modell)</t>
  </si>
  <si>
    <t>M/M/c/K+M system (extended Erlang C model)</t>
  </si>
  <si>
    <t>M/M/c-System (Erlang-C-Modell)</t>
  </si>
  <si>
    <t>M/M/c system (Erlang C model)</t>
  </si>
  <si>
    <r>
      <t>Loss probabilities (=p</t>
    </r>
    <r>
      <rPr>
        <b/>
        <vertAlign val="subscript"/>
        <sz val="13"/>
        <color theme="1"/>
        <rFont val="Calibri"/>
        <family val="2"/>
        <scheme val="minor"/>
      </rPr>
      <t>c</t>
    </r>
    <r>
      <rPr>
        <b/>
        <sz val="13"/>
        <color theme="1"/>
        <rFont val="Calibri"/>
        <family val="2"/>
        <scheme val="minor"/>
      </rPr>
      <t>)</t>
    </r>
  </si>
  <si>
    <t>E[I]</t>
  </si>
  <si>
    <t>M/M/c example</t>
  </si>
  <si>
    <t>Arrival rate</t>
  </si>
  <si>
    <t>Average service time</t>
  </si>
  <si>
    <t>Input</t>
  </si>
  <si>
    <t>Calculated</t>
  </si>
  <si>
    <t>c=</t>
  </si>
  <si>
    <t>E[S]=</t>
  </si>
  <si>
    <t>Service rate</t>
  </si>
  <si>
    <t>mu=</t>
  </si>
  <si>
    <t>Average inter-arrival time</t>
  </si>
  <si>
    <t>Av. queue length</t>
  </si>
  <si>
    <t>Av. number in sys.</t>
  </si>
  <si>
    <t>Av. waiting time</t>
  </si>
  <si>
    <t>Av. residence time</t>
  </si>
  <si>
    <t>E[V]</t>
  </si>
  <si>
    <t>E[W]</t>
  </si>
  <si>
    <t>E[N]</t>
  </si>
  <si>
    <t>E[NQ]</t>
  </si>
  <si>
    <t>rho</t>
  </si>
  <si>
    <t>(in seconds)</t>
  </si>
  <si>
    <t>(in 1/seconds)</t>
  </si>
  <si>
    <t>M/M/c-Beispiel</t>
  </si>
  <si>
    <t>Berechnet</t>
  </si>
  <si>
    <t>Parameter</t>
  </si>
  <si>
    <t>Erlang-C-Ergebnisse</t>
  </si>
  <si>
    <t>Erlang C results</t>
  </si>
  <si>
    <t>(in Sekunden)</t>
  </si>
  <si>
    <t>(in 1/Sekunden)</t>
  </si>
  <si>
    <t>Bedienrate</t>
  </si>
  <si>
    <t>Mittlere Bediendauer</t>
  </si>
  <si>
    <t>Mittlere Zwischenankunfts.</t>
  </si>
  <si>
    <t>Ankunftsrate</t>
  </si>
  <si>
    <t>Arbeitslast</t>
  </si>
  <si>
    <t>M. Warteschlangenl.</t>
  </si>
  <si>
    <t>M. Anz. Kunden im S.</t>
  </si>
  <si>
    <t>Mittlere Wartezeit</t>
  </si>
  <si>
    <t>Mittlere Verweilz.</t>
  </si>
  <si>
    <t>Probability for c customers</t>
  </si>
  <si>
    <t>Wahrscheinlichkeit für c Kunden</t>
  </si>
  <si>
    <t>M/M/c/K/M example</t>
  </si>
  <si>
    <t>Average waiting time tolerance</t>
  </si>
  <si>
    <t>E[WT]=</t>
  </si>
  <si>
    <t>Cancelation rate</t>
  </si>
  <si>
    <t>nu=</t>
  </si>
  <si>
    <t>Workload (Input)</t>
  </si>
  <si>
    <t>Utilization (Input)</t>
  </si>
  <si>
    <t>Rejection</t>
  </si>
  <si>
    <t>P(N=K)</t>
  </si>
  <si>
    <t>Real av. inter-arr.</t>
  </si>
  <si>
    <t>Real utilization</t>
  </si>
  <si>
    <t>P(A)</t>
  </si>
  <si>
    <t>Cancelation probab.</t>
  </si>
  <si>
    <t>System size</t>
  </si>
  <si>
    <t>K=</t>
  </si>
  <si>
    <t>M/M/c/K/M-Beispiel</t>
  </si>
  <si>
    <t>Systemgröße</t>
  </si>
  <si>
    <t>Mittlere Wartezeittoleranz</t>
  </si>
  <si>
    <t>Abbruchrate</t>
  </si>
  <si>
    <t>Arbeitslast (Eingang)</t>
  </si>
  <si>
    <t>Auslastung (Eingang)</t>
  </si>
  <si>
    <t>Zurückweisung</t>
  </si>
  <si>
    <t>Abbruchwahrschei.</t>
  </si>
  <si>
    <t>Reale mittlere Zwis.</t>
  </si>
  <si>
    <t>Reale Auslastung</t>
  </si>
  <si>
    <t>Erweiterte Erlang C-Ergebnisse</t>
  </si>
  <si>
    <t>Extended Erlang C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</si>
</sst>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0"/>
    <numFmt numFmtId="167" formatCode="0.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/>
    <xf numFmtId="0" fontId="7" fillId="0" borderId="0" xfId="0" applyFont="1"/>
    <xf numFmtId="0" fontId="0" fillId="3" borderId="0" xfId="0" applyFill="1"/>
    <xf numFmtId="164" fontId="6" fillId="2" borderId="0" xfId="1" applyNumberFormat="1" applyFont="1" applyFill="1"/>
    <xf numFmtId="0" fontId="0" fillId="0" borderId="0" xfId="0" quotePrefix="1"/>
    <xf numFmtId="0" fontId="9" fillId="0" borderId="0" xfId="0" quotePrefix="1" applyFont="1"/>
    <xf numFmtId="0" fontId="9" fillId="0" borderId="0" xfId="0" applyFont="1"/>
    <xf numFmtId="9" fontId="9" fillId="0" borderId="0" xfId="1" applyFont="1"/>
    <xf numFmtId="165" fontId="6" fillId="2" borderId="0" xfId="1" applyNumberFormat="1" applyFont="1" applyFill="1"/>
    <xf numFmtId="2" fontId="6" fillId="2" borderId="0" xfId="1" applyNumberFormat="1" applyFont="1" applyFill="1"/>
    <xf numFmtId="9" fontId="0" fillId="0" borderId="0" xfId="1" applyFont="1"/>
    <xf numFmtId="166" fontId="0" fillId="0" borderId="0" xfId="0" applyNumberFormat="1"/>
    <xf numFmtId="0" fontId="10" fillId="0" borderId="0" xfId="0" applyFont="1"/>
    <xf numFmtId="0" fontId="2" fillId="5" borderId="0" xfId="0" applyFont="1" applyFill="1"/>
    <xf numFmtId="0" fontId="10" fillId="0" borderId="0" xfId="0" applyFont="1" applyAlignment="1">
      <alignment wrapText="1"/>
    </xf>
    <xf numFmtId="0" fontId="2" fillId="7" borderId="0" xfId="0" applyFont="1" applyFill="1"/>
    <xf numFmtId="167" fontId="0" fillId="8" borderId="0" xfId="0" applyNumberFormat="1" applyFill="1"/>
    <xf numFmtId="166" fontId="0" fillId="8" borderId="0" xfId="0" applyNumberFormat="1" applyFill="1"/>
    <xf numFmtId="2" fontId="0" fillId="8" borderId="0" xfId="0" applyNumberFormat="1" applyFill="1"/>
    <xf numFmtId="9" fontId="0" fillId="8" borderId="0" xfId="1" applyFont="1" applyFill="1"/>
    <xf numFmtId="2" fontId="0" fillId="9" borderId="0" xfId="0" applyNumberFormat="1" applyFill="1"/>
    <xf numFmtId="0" fontId="11" fillId="0" borderId="0" xfId="0" applyFont="1" applyAlignment="1">
      <alignment horizontal="right"/>
    </xf>
    <xf numFmtId="0" fontId="11" fillId="0" borderId="0" xfId="0" applyFont="1"/>
    <xf numFmtId="0" fontId="4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6" fillId="6" borderId="0" xfId="0" applyFont="1" applyFill="1" applyAlignment="1">
      <alignment horizontal="left"/>
    </xf>
    <xf numFmtId="0" fontId="2" fillId="5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6" fillId="2" borderId="0" xfId="0" applyFont="1" applyFill="1" applyAlignment="1"/>
    <xf numFmtId="9" fontId="0" fillId="9" borderId="0" xfId="1" applyFont="1" applyFill="1"/>
    <xf numFmtId="10" fontId="0" fillId="9" borderId="0" xfId="1" applyNumberFormat="1" applyFont="1" applyFill="1"/>
    <xf numFmtId="166" fontId="0" fillId="9" borderId="0" xfId="0" applyNumberFormat="1" applyFill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400" b="0" i="0" u="none" strike="noStrike" baseline="0"/>
              <a:t>Effects of the change in the arrival rate (and thus the utilization)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Average queue length E[NQ]</c:v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'MMc example (en)'!$A$13:$A$32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 example (en)'!$E$13:$E$32</c:f>
              <c:numCache>
                <c:formatCode>0.00</c:formatCode>
                <c:ptCount val="20"/>
                <c:pt idx="0">
                  <c:v>0.15194886403112623</c:v>
                </c:pt>
                <c:pt idx="1">
                  <c:v>0.17807047555473676</c:v>
                </c:pt>
                <c:pt idx="2">
                  <c:v>0.20942178898748393</c:v>
                </c:pt>
                <c:pt idx="3">
                  <c:v>0.2472433759814926</c:v>
                </c:pt>
                <c:pt idx="4">
                  <c:v>0.29313156146977848</c:v>
                </c:pt>
                <c:pt idx="5">
                  <c:v>0.34916384747602591</c:v>
                </c:pt>
                <c:pt idx="6">
                  <c:v>0.41807916224273012</c:v>
                </c:pt>
                <c:pt idx="7">
                  <c:v>0.50354263498238727</c:v>
                </c:pt>
                <c:pt idx="8">
                  <c:v>0.61054443009535297</c:v>
                </c:pt>
                <c:pt idx="9">
                  <c:v>0.74601824309707765</c:v>
                </c:pt>
                <c:pt idx="10">
                  <c:v>0.91983360066389008</c:v>
                </c:pt>
                <c:pt idx="11">
                  <c:v>1.1464532018310027</c:v>
                </c:pt>
                <c:pt idx="12">
                  <c:v>1.4478378838595778</c:v>
                </c:pt>
                <c:pt idx="13">
                  <c:v>1.8588477609161287</c:v>
                </c:pt>
                <c:pt idx="14">
                  <c:v>2.4380530400296463</c:v>
                </c:pt>
                <c:pt idx="15">
                  <c:v>3.291529966079962</c:v>
                </c:pt>
                <c:pt idx="16">
                  <c:v>4.6323687897053478</c:v>
                </c:pt>
                <c:pt idx="17">
                  <c:v>6.9592266191512397</c:v>
                </c:pt>
                <c:pt idx="18">
                  <c:v>11.770591230027106</c:v>
                </c:pt>
                <c:pt idx="19">
                  <c:v>26.564755084233067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49-4610-A310-D91082C4685A}"/>
            </c:ext>
          </c:extLst>
        </c:ser>
        <c:ser>
          <c:idx val="1"/>
          <c:order val="1"/>
          <c:tx>
            <c:v>Average number in system E[N]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'MMc example (en)'!$A$13:$A$32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 example (en)'!$F$13:$F$32</c:f>
              <c:numCache>
                <c:formatCode>0.00</c:formatCode>
                <c:ptCount val="20"/>
                <c:pt idx="0">
                  <c:v>6.1519488640311266</c:v>
                </c:pt>
                <c:pt idx="1">
                  <c:v>6.3005194551465724</c:v>
                </c:pt>
                <c:pt idx="2">
                  <c:v>6.4594217889874832</c:v>
                </c:pt>
                <c:pt idx="3">
                  <c:v>6.6302220993857466</c:v>
                </c:pt>
                <c:pt idx="4">
                  <c:v>6.8148706919045612</c:v>
                </c:pt>
                <c:pt idx="5">
                  <c:v>7.0158305141426922</c:v>
                </c:pt>
                <c:pt idx="6">
                  <c:v>7.2362609804245484</c:v>
                </c:pt>
                <c:pt idx="7">
                  <c:v>7.4802868210288977</c:v>
                </c:pt>
                <c:pt idx="8">
                  <c:v>7.7534015729524954</c:v>
                </c:pt>
                <c:pt idx="9">
                  <c:v>8.0630914138287846</c:v>
                </c:pt>
                <c:pt idx="10">
                  <c:v>8.4198336006638907</c:v>
                </c:pt>
                <c:pt idx="11">
                  <c:v>8.8387608941386944</c:v>
                </c:pt>
                <c:pt idx="12">
                  <c:v>9.3425747259648393</c:v>
                </c:pt>
                <c:pt idx="13">
                  <c:v>9.9669558690242379</c:v>
                </c:pt>
                <c:pt idx="14">
                  <c:v>10.771386373362978</c:v>
                </c:pt>
                <c:pt idx="15">
                  <c:v>11.862958537508533</c:v>
                </c:pt>
                <c:pt idx="16">
                  <c:v>13.455898201470053</c:v>
                </c:pt>
                <c:pt idx="17">
                  <c:v>16.050135710060328</c:v>
                </c:pt>
                <c:pt idx="18">
                  <c:v>21.145591230027108</c:v>
                </c:pt>
                <c:pt idx="19">
                  <c:v>36.242174439071775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49-4610-A310-D91082C46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136016"/>
        <c:axId val="1312136496"/>
      </c:lineChart>
      <c:lineChart>
        <c:grouping val="standard"/>
        <c:varyColors val="0"/>
        <c:ser>
          <c:idx val="2"/>
          <c:order val="2"/>
          <c:tx>
            <c:v>Average waiting time E[W] (in sec.)</c:v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'MMc example (en)'!$G$13:$G$32</c:f>
              <c:numCache>
                <c:formatCode>0.00</c:formatCode>
                <c:ptCount val="20"/>
                <c:pt idx="0">
                  <c:v>7.5974432015563114</c:v>
                </c:pt>
                <c:pt idx="1">
                  <c:v>8.7254533021821032</c:v>
                </c:pt>
                <c:pt idx="2">
                  <c:v>10.052245871399229</c:v>
                </c:pt>
                <c:pt idx="3">
                  <c:v>11.620438671130156</c:v>
                </c:pt>
                <c:pt idx="4">
                  <c:v>13.484051827609809</c:v>
                </c:pt>
                <c:pt idx="5">
                  <c:v>15.712373136421169</c:v>
                </c:pt>
                <c:pt idx="6">
                  <c:v>18.39548313868012</c:v>
                </c:pt>
                <c:pt idx="7">
                  <c:v>21.652333304242656</c:v>
                </c:pt>
                <c:pt idx="8">
                  <c:v>25.642866064004821</c:v>
                </c:pt>
                <c:pt idx="9">
                  <c:v>30.586747966980187</c:v>
                </c:pt>
                <c:pt idx="10">
                  <c:v>36.793344026555594</c:v>
                </c:pt>
                <c:pt idx="11">
                  <c:v>44.711674871409102</c:v>
                </c:pt>
                <c:pt idx="12">
                  <c:v>55.017839586663968</c:v>
                </c:pt>
                <c:pt idx="13">
                  <c:v>68.777367153896733</c:v>
                </c:pt>
                <c:pt idx="14">
                  <c:v>87.769909441067284</c:v>
                </c:pt>
                <c:pt idx="15">
                  <c:v>115.20354881279862</c:v>
                </c:pt>
                <c:pt idx="16">
                  <c:v>157.50053884998189</c:v>
                </c:pt>
                <c:pt idx="17">
                  <c:v>229.65447843199107</c:v>
                </c:pt>
                <c:pt idx="18">
                  <c:v>376.65891936086706</c:v>
                </c:pt>
                <c:pt idx="19">
                  <c:v>823.50740761122677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49-4610-A310-D91082C4685A}"/>
            </c:ext>
          </c:extLst>
        </c:ser>
        <c:ser>
          <c:idx val="3"/>
          <c:order val="3"/>
          <c:tx>
            <c:v>Average residence time E[V] (in sec.)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'MMc example (en)'!$H$13:$H$32</c:f>
              <c:numCache>
                <c:formatCode>0.00</c:formatCode>
                <c:ptCount val="20"/>
                <c:pt idx="0">
                  <c:v>307.5974432015563</c:v>
                </c:pt>
                <c:pt idx="1">
                  <c:v>308.72545330218207</c:v>
                </c:pt>
                <c:pt idx="2">
                  <c:v>310.05224587139924</c:v>
                </c:pt>
                <c:pt idx="3">
                  <c:v>311.62043867113016</c:v>
                </c:pt>
                <c:pt idx="4">
                  <c:v>313.48405182760979</c:v>
                </c:pt>
                <c:pt idx="5">
                  <c:v>315.71237313642115</c:v>
                </c:pt>
                <c:pt idx="6">
                  <c:v>318.39548313868011</c:v>
                </c:pt>
                <c:pt idx="7">
                  <c:v>321.65233330424263</c:v>
                </c:pt>
                <c:pt idx="8">
                  <c:v>325.64286606400481</c:v>
                </c:pt>
                <c:pt idx="9">
                  <c:v>330.58674796698017</c:v>
                </c:pt>
                <c:pt idx="10">
                  <c:v>336.79334402655559</c:v>
                </c:pt>
                <c:pt idx="11">
                  <c:v>344.71167487140906</c:v>
                </c:pt>
                <c:pt idx="12">
                  <c:v>355.01783958666397</c:v>
                </c:pt>
                <c:pt idx="13">
                  <c:v>368.77736715389671</c:v>
                </c:pt>
                <c:pt idx="14">
                  <c:v>387.76990944106728</c:v>
                </c:pt>
                <c:pt idx="15">
                  <c:v>415.2035488127986</c:v>
                </c:pt>
                <c:pt idx="16">
                  <c:v>457.50053884998187</c:v>
                </c:pt>
                <c:pt idx="17">
                  <c:v>529.65447843199104</c:v>
                </c:pt>
                <c:pt idx="18">
                  <c:v>676.658919360867</c:v>
                </c:pt>
                <c:pt idx="19">
                  <c:v>1123.5074076112267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49-4610-A310-D91082C46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316448"/>
        <c:axId val="1539418112"/>
      </c:lineChart>
      <c:catAx>
        <c:axId val="131213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Average inter-arrival time E[I] (in 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496"/>
        <c:crosses val="autoZero"/>
        <c:auto val="1"/>
        <c:lblAlgn val="ctr"/>
        <c:lblOffset val="100"/>
        <c:noMultiLvlLbl val="0"/>
      </c:catAx>
      <c:valAx>
        <c:axId val="13121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rgbClr val="7030A0"/>
                    </a:solidFill>
                  </a:rPr>
                  <a:t>Average number of customers in queue / in system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016"/>
        <c:crosses val="autoZero"/>
        <c:crossBetween val="between"/>
      </c:valAx>
      <c:valAx>
        <c:axId val="1539418112"/>
        <c:scaling>
          <c:orientation val="minMax"/>
          <c:max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Average waiting / residence time (in 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316448"/>
        <c:crosses val="max"/>
        <c:crossBetween val="between"/>
      </c:valAx>
      <c:catAx>
        <c:axId val="1446316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9418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400" b="0" i="0" u="none" strike="noStrike" baseline="0"/>
              <a:t>Auswirkungen der Variation der Ankunftsrate (und damit der Auslastung)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Mittlere Warteschlangenlänge E[NQ]</c:v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'MMc-Beispiel (de)'!$A$13:$A$32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'MMc-Beispiel (de)'!$E$13:$E$32</c:f>
              <c:numCache>
                <c:formatCode>0.00</c:formatCode>
                <c:ptCount val="20"/>
                <c:pt idx="0">
                  <c:v>0.15194886403112623</c:v>
                </c:pt>
                <c:pt idx="1">
                  <c:v>0.17807047555473676</c:v>
                </c:pt>
                <c:pt idx="2">
                  <c:v>0.20942178898748393</c:v>
                </c:pt>
                <c:pt idx="3">
                  <c:v>0.2472433759814926</c:v>
                </c:pt>
                <c:pt idx="4">
                  <c:v>0.29313156146977848</c:v>
                </c:pt>
                <c:pt idx="5">
                  <c:v>0.34916384747602591</c:v>
                </c:pt>
                <c:pt idx="6">
                  <c:v>0.41807916224273012</c:v>
                </c:pt>
                <c:pt idx="7">
                  <c:v>0.50354263498238727</c:v>
                </c:pt>
                <c:pt idx="8">
                  <c:v>0.61054443009535297</c:v>
                </c:pt>
                <c:pt idx="9">
                  <c:v>0.74601824309707765</c:v>
                </c:pt>
                <c:pt idx="10">
                  <c:v>0.91983360066389008</c:v>
                </c:pt>
                <c:pt idx="11">
                  <c:v>1.1464532018310027</c:v>
                </c:pt>
                <c:pt idx="12">
                  <c:v>1.4478378838595778</c:v>
                </c:pt>
                <c:pt idx="13">
                  <c:v>1.8588477609161287</c:v>
                </c:pt>
                <c:pt idx="14">
                  <c:v>2.4380530400296463</c:v>
                </c:pt>
                <c:pt idx="15">
                  <c:v>3.291529966079962</c:v>
                </c:pt>
                <c:pt idx="16">
                  <c:v>4.6323687897053478</c:v>
                </c:pt>
                <c:pt idx="17">
                  <c:v>6.9592266191512397</c:v>
                </c:pt>
                <c:pt idx="18">
                  <c:v>11.770591230027106</c:v>
                </c:pt>
                <c:pt idx="19">
                  <c:v>26.564755084233067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10-4F5B-97FB-362CAE46B3D8}"/>
            </c:ext>
          </c:extLst>
        </c:ser>
        <c:ser>
          <c:idx val="1"/>
          <c:order val="1"/>
          <c:tx>
            <c:v>Mittlere Anzahl an Kunden im System E[N]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'MMc-Beispiel (de)'!$A$13:$A$32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'MMc-Beispiel (de)'!$F$13:$F$32</c:f>
              <c:numCache>
                <c:formatCode>0.00</c:formatCode>
                <c:ptCount val="20"/>
                <c:pt idx="0">
                  <c:v>6.1519488640311266</c:v>
                </c:pt>
                <c:pt idx="1">
                  <c:v>6.3005194551465724</c:v>
                </c:pt>
                <c:pt idx="2">
                  <c:v>6.4594217889874832</c:v>
                </c:pt>
                <c:pt idx="3">
                  <c:v>6.6302220993857466</c:v>
                </c:pt>
                <c:pt idx="4">
                  <c:v>6.8148706919045612</c:v>
                </c:pt>
                <c:pt idx="5">
                  <c:v>7.0158305141426922</c:v>
                </c:pt>
                <c:pt idx="6">
                  <c:v>7.2362609804245484</c:v>
                </c:pt>
                <c:pt idx="7">
                  <c:v>7.4802868210288977</c:v>
                </c:pt>
                <c:pt idx="8">
                  <c:v>7.7534015729524954</c:v>
                </c:pt>
                <c:pt idx="9">
                  <c:v>8.0630914138287846</c:v>
                </c:pt>
                <c:pt idx="10">
                  <c:v>8.4198336006638907</c:v>
                </c:pt>
                <c:pt idx="11">
                  <c:v>8.8387608941386944</c:v>
                </c:pt>
                <c:pt idx="12">
                  <c:v>9.3425747259648393</c:v>
                </c:pt>
                <c:pt idx="13">
                  <c:v>9.9669558690242379</c:v>
                </c:pt>
                <c:pt idx="14">
                  <c:v>10.771386373362978</c:v>
                </c:pt>
                <c:pt idx="15">
                  <c:v>11.862958537508533</c:v>
                </c:pt>
                <c:pt idx="16">
                  <c:v>13.455898201470053</c:v>
                </c:pt>
                <c:pt idx="17">
                  <c:v>16.050135710060328</c:v>
                </c:pt>
                <c:pt idx="18">
                  <c:v>21.145591230027108</c:v>
                </c:pt>
                <c:pt idx="19">
                  <c:v>36.242174439071775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10-4F5B-97FB-362CAE46B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136016"/>
        <c:axId val="1312136496"/>
      </c:lineChart>
      <c:lineChart>
        <c:grouping val="standard"/>
        <c:varyColors val="0"/>
        <c:ser>
          <c:idx val="2"/>
          <c:order val="2"/>
          <c:tx>
            <c:v>Mittlere Warezeit E[W] (in Sek.)</c:v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'MMc-Beispiel (de)'!$G$13:$G$32</c:f>
              <c:numCache>
                <c:formatCode>0.00</c:formatCode>
                <c:ptCount val="20"/>
                <c:pt idx="0">
                  <c:v>7.5974432015563114</c:v>
                </c:pt>
                <c:pt idx="1">
                  <c:v>8.7254533021821032</c:v>
                </c:pt>
                <c:pt idx="2">
                  <c:v>10.052245871399229</c:v>
                </c:pt>
                <c:pt idx="3">
                  <c:v>11.620438671130156</c:v>
                </c:pt>
                <c:pt idx="4">
                  <c:v>13.484051827609809</c:v>
                </c:pt>
                <c:pt idx="5">
                  <c:v>15.712373136421169</c:v>
                </c:pt>
                <c:pt idx="6">
                  <c:v>18.39548313868012</c:v>
                </c:pt>
                <c:pt idx="7">
                  <c:v>21.652333304242656</c:v>
                </c:pt>
                <c:pt idx="8">
                  <c:v>25.642866064004821</c:v>
                </c:pt>
                <c:pt idx="9">
                  <c:v>30.586747966980187</c:v>
                </c:pt>
                <c:pt idx="10">
                  <c:v>36.793344026555594</c:v>
                </c:pt>
                <c:pt idx="11">
                  <c:v>44.711674871409102</c:v>
                </c:pt>
                <c:pt idx="12">
                  <c:v>55.017839586663968</c:v>
                </c:pt>
                <c:pt idx="13">
                  <c:v>68.777367153896733</c:v>
                </c:pt>
                <c:pt idx="14">
                  <c:v>87.769909441067284</c:v>
                </c:pt>
                <c:pt idx="15">
                  <c:v>115.20354881279862</c:v>
                </c:pt>
                <c:pt idx="16">
                  <c:v>157.50053884998189</c:v>
                </c:pt>
                <c:pt idx="17">
                  <c:v>229.65447843199107</c:v>
                </c:pt>
                <c:pt idx="18">
                  <c:v>376.65891936086706</c:v>
                </c:pt>
                <c:pt idx="19">
                  <c:v>823.50740761122677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10-4F5B-97FB-362CAE46B3D8}"/>
            </c:ext>
          </c:extLst>
        </c:ser>
        <c:ser>
          <c:idx val="3"/>
          <c:order val="3"/>
          <c:tx>
            <c:v>Mittlere Verweilzeit E[V] (in Sek.)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'MMc-Beispiel (de)'!$H$13:$H$32</c:f>
              <c:numCache>
                <c:formatCode>0.00</c:formatCode>
                <c:ptCount val="20"/>
                <c:pt idx="0">
                  <c:v>307.5974432015563</c:v>
                </c:pt>
                <c:pt idx="1">
                  <c:v>308.72545330218207</c:v>
                </c:pt>
                <c:pt idx="2">
                  <c:v>310.05224587139924</c:v>
                </c:pt>
                <c:pt idx="3">
                  <c:v>311.62043867113016</c:v>
                </c:pt>
                <c:pt idx="4">
                  <c:v>313.48405182760979</c:v>
                </c:pt>
                <c:pt idx="5">
                  <c:v>315.71237313642115</c:v>
                </c:pt>
                <c:pt idx="6">
                  <c:v>318.39548313868011</c:v>
                </c:pt>
                <c:pt idx="7">
                  <c:v>321.65233330424263</c:v>
                </c:pt>
                <c:pt idx="8">
                  <c:v>325.64286606400481</c:v>
                </c:pt>
                <c:pt idx="9">
                  <c:v>330.58674796698017</c:v>
                </c:pt>
                <c:pt idx="10">
                  <c:v>336.79334402655559</c:v>
                </c:pt>
                <c:pt idx="11">
                  <c:v>344.71167487140906</c:v>
                </c:pt>
                <c:pt idx="12">
                  <c:v>355.01783958666397</c:v>
                </c:pt>
                <c:pt idx="13">
                  <c:v>368.77736715389671</c:v>
                </c:pt>
                <c:pt idx="14">
                  <c:v>387.76990944106728</c:v>
                </c:pt>
                <c:pt idx="15">
                  <c:v>415.2035488127986</c:v>
                </c:pt>
                <c:pt idx="16">
                  <c:v>457.50053884998187</c:v>
                </c:pt>
                <c:pt idx="17">
                  <c:v>529.65447843199104</c:v>
                </c:pt>
                <c:pt idx="18">
                  <c:v>676.658919360867</c:v>
                </c:pt>
                <c:pt idx="19">
                  <c:v>1123.5074076112267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10-4F5B-97FB-362CAE46B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316448"/>
        <c:axId val="1539418112"/>
      </c:lineChart>
      <c:catAx>
        <c:axId val="131213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Mittlere Zwischenankunftszeit</a:t>
                </a:r>
                <a:r>
                  <a:rPr lang="de-DE" baseline="0"/>
                  <a:t> </a:t>
                </a:r>
                <a:r>
                  <a:rPr lang="de-DE"/>
                  <a:t>E[I] (in Sekunden)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496"/>
        <c:crosses val="autoZero"/>
        <c:auto val="1"/>
        <c:lblAlgn val="ctr"/>
        <c:lblOffset val="100"/>
        <c:noMultiLvlLbl val="0"/>
      </c:catAx>
      <c:valAx>
        <c:axId val="13121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rgbClr val="7030A0"/>
                    </a:solidFill>
                  </a:rPr>
                  <a:t>Mittlere Anzahl an Kunden in der Warteschlange / im System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016"/>
        <c:crosses val="autoZero"/>
        <c:crossBetween val="between"/>
      </c:valAx>
      <c:valAx>
        <c:axId val="1539418112"/>
        <c:scaling>
          <c:orientation val="minMax"/>
          <c:max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Mittlere Wartezeit / mittlere Verweilzeit (in Sekunden)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316448"/>
        <c:crosses val="max"/>
        <c:crossBetween val="between"/>
      </c:valAx>
      <c:catAx>
        <c:axId val="1446316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9418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400" b="0" i="0" u="none" strike="noStrike" baseline="0"/>
              <a:t>Effects of the change in the arrival rate (and thus the utilization)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Average queue length E[NQ]</c:v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'MMcKM example (en)'!$A$16:$A$35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'MMcKM example (en)'!$I$16:$I$35</c:f>
              <c:numCache>
                <c:formatCode>0.00</c:formatCode>
                <c:ptCount val="20"/>
                <c:pt idx="0">
                  <c:v>9.8990400354680846E-2</c:v>
                </c:pt>
                <c:pt idx="1">
                  <c:v>0.1135998690901862</c:v>
                </c:pt>
                <c:pt idx="2">
                  <c:v>0.13055066752447478</c:v>
                </c:pt>
                <c:pt idx="3">
                  <c:v>0.15024455921298679</c:v>
                </c:pt>
                <c:pt idx="4">
                  <c:v>0.17315558417746307</c:v>
                </c:pt>
                <c:pt idx="5">
                  <c:v>0.19984315236101594</c:v>
                </c:pt>
                <c:pt idx="6">
                  <c:v>0.23096729349653733</c:v>
                </c:pt>
                <c:pt idx="7">
                  <c:v>0.26730626109310646</c:v>
                </c:pt>
                <c:pt idx="8">
                  <c:v>0.30977660572905441</c:v>
                </c:pt>
                <c:pt idx="9">
                  <c:v>0.35945567452431898</c:v>
                </c:pt>
                <c:pt idx="10">
                  <c:v>0.41760621935323905</c:v>
                </c:pt>
                <c:pt idx="11">
                  <c:v>0.485702350449908</c:v>
                </c:pt>
                <c:pt idx="12">
                  <c:v>0.56545538138760398</c:v>
                </c:pt>
                <c:pt idx="13">
                  <c:v>0.65883708662126683</c:v>
                </c:pt>
                <c:pt idx="14">
                  <c:v>0.76809643788656379</c:v>
                </c:pt>
                <c:pt idx="15">
                  <c:v>0.89576392391535398</c:v>
                </c:pt>
                <c:pt idx="16">
                  <c:v>1.0446350853606658</c:v>
                </c:pt>
                <c:pt idx="17">
                  <c:v>1.2177220794054535</c:v>
                </c:pt>
                <c:pt idx="18">
                  <c:v>1.4181594119577035</c:v>
                </c:pt>
                <c:pt idx="19">
                  <c:v>1.6490484387656248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25-4FC8-A0C1-9575825015FD}"/>
            </c:ext>
          </c:extLst>
        </c:ser>
        <c:ser>
          <c:idx val="1"/>
          <c:order val="1"/>
          <c:tx>
            <c:v>Average number in system E[N]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'MMcKM example (en)'!$A$16:$A$35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'MMcKM example (en)'!$J$16:$J$35</c:f>
              <c:numCache>
                <c:formatCode>0.00</c:formatCode>
                <c:ptCount val="20"/>
                <c:pt idx="0">
                  <c:v>6.0493554184732181</c:v>
                </c:pt>
                <c:pt idx="1">
                  <c:v>6.1790600890794627</c:v>
                </c:pt>
                <c:pt idx="2">
                  <c:v>6.315019373335887</c:v>
                </c:pt>
                <c:pt idx="3">
                  <c:v>6.4577528311039263</c:v>
                </c:pt>
                <c:pt idx="4">
                  <c:v>6.6078416734979992</c:v>
                </c:pt>
                <c:pt idx="5">
                  <c:v>6.7659372918319809</c:v>
                </c:pt>
                <c:pt idx="6">
                  <c:v>6.9327707994352226</c:v>
                </c:pt>
                <c:pt idx="7">
                  <c:v>7.1091635432376581</c:v>
                </c:pt>
                <c:pt idx="8">
                  <c:v>7.2960384246140286</c:v>
                </c:pt>
                <c:pt idx="9">
                  <c:v>7.4944316809135865</c:v>
                </c:pt>
                <c:pt idx="10">
                  <c:v>7.7055044889243067</c:v>
                </c:pt>
                <c:pt idx="11">
                  <c:v>7.9305533181275516</c:v>
                </c:pt>
                <c:pt idx="12">
                  <c:v>8.1710173347588029</c:v>
                </c:pt>
                <c:pt idx="13">
                  <c:v>8.428480282616329</c:v>
                </c:pt>
                <c:pt idx="14">
                  <c:v>8.7046630965980203</c:v>
                </c:pt>
                <c:pt idx="15">
                  <c:v>9.0014020286999266</c:v>
                </c:pt>
                <c:pt idx="16">
                  <c:v>9.3206053575543901</c:v>
                </c:pt>
                <c:pt idx="17">
                  <c:v>9.6641800519871506</c:v>
                </c:pt>
                <c:pt idx="18">
                  <c:v>10.033918587569808</c:v>
                </c:pt>
                <c:pt idx="19">
                  <c:v>10.43133640023564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25-4FC8-A0C1-957582501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136016"/>
        <c:axId val="1312136496"/>
      </c:lineChart>
      <c:lineChart>
        <c:grouping val="standard"/>
        <c:varyColors val="0"/>
        <c:ser>
          <c:idx val="2"/>
          <c:order val="2"/>
          <c:tx>
            <c:v>Average waiting time E[W] (in sec.)</c:v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'MMcKM example (en)'!$K$16:$K$35</c:f>
              <c:numCache>
                <c:formatCode>0.00</c:formatCode>
                <c:ptCount val="20"/>
                <c:pt idx="0">
                  <c:v>4.9495200177340424</c:v>
                </c:pt>
                <c:pt idx="1">
                  <c:v>5.5663935854191244</c:v>
                </c:pt>
                <c:pt idx="2">
                  <c:v>6.2664320411747898</c:v>
                </c:pt>
                <c:pt idx="3">
                  <c:v>7.0614942830103793</c:v>
                </c:pt>
                <c:pt idx="4">
                  <c:v>7.9651568721633019</c:v>
                </c:pt>
                <c:pt idx="5">
                  <c:v>8.9929418562457162</c:v>
                </c:pt>
                <c:pt idx="6">
                  <c:v>10.162560913847642</c:v>
                </c:pt>
                <c:pt idx="7">
                  <c:v>11.494169227003578</c:v>
                </c:pt>
                <c:pt idx="8">
                  <c:v>13.010617440620287</c:v>
                </c:pt>
                <c:pt idx="9">
                  <c:v>14.737682655497078</c:v>
                </c:pt>
                <c:pt idx="10">
                  <c:v>16.70424877412956</c:v>
                </c:pt>
                <c:pt idx="11">
                  <c:v>18.942391667546413</c:v>
                </c:pt>
                <c:pt idx="12">
                  <c:v>21.487304492728953</c:v>
                </c:pt>
                <c:pt idx="13">
                  <c:v>24.37697220498687</c:v>
                </c:pt>
                <c:pt idx="14">
                  <c:v>27.651471763916298</c:v>
                </c:pt>
                <c:pt idx="15">
                  <c:v>31.351737337037392</c:v>
                </c:pt>
                <c:pt idx="16">
                  <c:v>35.517592902262642</c:v>
                </c:pt>
                <c:pt idx="17">
                  <c:v>40.184828620379967</c:v>
                </c:pt>
                <c:pt idx="18">
                  <c:v>45.38110118264651</c:v>
                </c:pt>
                <c:pt idx="19">
                  <c:v>51.120501601734368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25-4FC8-A0C1-957582501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316448"/>
        <c:axId val="1539418112"/>
      </c:lineChart>
      <c:catAx>
        <c:axId val="131213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Average inter-arrival time E[I] (in 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496"/>
        <c:crosses val="autoZero"/>
        <c:auto val="1"/>
        <c:lblAlgn val="ctr"/>
        <c:lblOffset val="100"/>
        <c:noMultiLvlLbl val="0"/>
      </c:catAx>
      <c:valAx>
        <c:axId val="13121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rgbClr val="7030A0"/>
                    </a:solidFill>
                  </a:rPr>
                  <a:t>Average number of customers in queue / in system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016"/>
        <c:crosses val="autoZero"/>
        <c:crossBetween val="between"/>
      </c:valAx>
      <c:valAx>
        <c:axId val="15394181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Average waiting  time (in 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316448"/>
        <c:crosses val="max"/>
        <c:crossBetween val="between"/>
      </c:valAx>
      <c:catAx>
        <c:axId val="1446316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9418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400" b="0" i="0" u="none" strike="noStrike" baseline="0"/>
              <a:t>Effects of the change in the arrival rate (and thus the utilization)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Utilization (system entry)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'MMcKM example (en)'!$D$16:$D$50</c:f>
              <c:numCache>
                <c:formatCode>0%</c:formatCode>
                <c:ptCount val="35"/>
                <c:pt idx="0">
                  <c:v>0.6</c:v>
                </c:pt>
                <c:pt idx="1">
                  <c:v>0.61224489795918358</c:v>
                </c:pt>
                <c:pt idx="2">
                  <c:v>0.62499999999999989</c:v>
                </c:pt>
                <c:pt idx="3">
                  <c:v>0.63829787234042545</c:v>
                </c:pt>
                <c:pt idx="4">
                  <c:v>0.65217391304347827</c:v>
                </c:pt>
                <c:pt idx="5">
                  <c:v>0.66666666666666663</c:v>
                </c:pt>
                <c:pt idx="6">
                  <c:v>0.68181818181818188</c:v>
                </c:pt>
                <c:pt idx="7">
                  <c:v>0.69767441860465107</c:v>
                </c:pt>
                <c:pt idx="8">
                  <c:v>0.71428571428571419</c:v>
                </c:pt>
                <c:pt idx="9">
                  <c:v>0.73170731707317072</c:v>
                </c:pt>
                <c:pt idx="10">
                  <c:v>0.75</c:v>
                </c:pt>
                <c:pt idx="11">
                  <c:v>0.76923076923076916</c:v>
                </c:pt>
                <c:pt idx="12">
                  <c:v>0.78947368421052622</c:v>
                </c:pt>
                <c:pt idx="13">
                  <c:v>0.81081081081081086</c:v>
                </c:pt>
                <c:pt idx="14">
                  <c:v>0.83333333333333326</c:v>
                </c:pt>
                <c:pt idx="15">
                  <c:v>0.8571428571428571</c:v>
                </c:pt>
                <c:pt idx="16">
                  <c:v>0.88235294117647045</c:v>
                </c:pt>
                <c:pt idx="17">
                  <c:v>0.90909090909090895</c:v>
                </c:pt>
                <c:pt idx="18">
                  <c:v>0.9375</c:v>
                </c:pt>
                <c:pt idx="19">
                  <c:v>0.96774193548387077</c:v>
                </c:pt>
                <c:pt idx="20">
                  <c:v>1</c:v>
                </c:pt>
                <c:pt idx="21">
                  <c:v>1.0344827586206895</c:v>
                </c:pt>
                <c:pt idx="22">
                  <c:v>1.0714285714285714</c:v>
                </c:pt>
                <c:pt idx="23">
                  <c:v>1.1111111111111109</c:v>
                </c:pt>
                <c:pt idx="24">
                  <c:v>1.1538461538461537</c:v>
                </c:pt>
                <c:pt idx="25">
                  <c:v>1.2</c:v>
                </c:pt>
                <c:pt idx="26">
                  <c:v>1.2499999999999998</c:v>
                </c:pt>
                <c:pt idx="27">
                  <c:v>1.3043478260869565</c:v>
                </c:pt>
                <c:pt idx="28">
                  <c:v>1.3636363636363638</c:v>
                </c:pt>
                <c:pt idx="29">
                  <c:v>1.4285714285714284</c:v>
                </c:pt>
                <c:pt idx="30">
                  <c:v>1.5</c:v>
                </c:pt>
                <c:pt idx="31">
                  <c:v>1.5789473684210524</c:v>
                </c:pt>
                <c:pt idx="32">
                  <c:v>1.6666666666666665</c:v>
                </c:pt>
                <c:pt idx="33">
                  <c:v>1.7647058823529409</c:v>
                </c:pt>
                <c:pt idx="34">
                  <c:v>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9B-4CC1-B521-AAF6A159B5D6}"/>
            </c:ext>
          </c:extLst>
        </c:ser>
        <c:ser>
          <c:idx val="1"/>
          <c:order val="1"/>
          <c:tx>
            <c:v>Utilization (real)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'MMcKM example (en)'!$H$16:$H$50</c:f>
              <c:numCache>
                <c:formatCode>0%</c:formatCode>
                <c:ptCount val="35"/>
                <c:pt idx="0">
                  <c:v>0.59503650181185375</c:v>
                </c:pt>
                <c:pt idx="1">
                  <c:v>0.6065460219989276</c:v>
                </c:pt>
                <c:pt idx="2">
                  <c:v>0.61844687058114134</c:v>
                </c:pt>
                <c:pt idx="3">
                  <c:v>0.63075082718909414</c:v>
                </c:pt>
                <c:pt idx="4">
                  <c:v>0.64346860893205349</c:v>
                </c:pt>
                <c:pt idx="5">
                  <c:v>0.65660941394709671</c:v>
                </c:pt>
                <c:pt idx="6">
                  <c:v>0.6701803505938686</c:v>
                </c:pt>
                <c:pt idx="7">
                  <c:v>0.684185728214455</c:v>
                </c:pt>
                <c:pt idx="8">
                  <c:v>0.69862618188849734</c:v>
                </c:pt>
                <c:pt idx="9">
                  <c:v>0.71349760063892675</c:v>
                </c:pt>
                <c:pt idx="10">
                  <c:v>0.72878982695710648</c:v>
                </c:pt>
                <c:pt idx="11">
                  <c:v>0.7444850967677642</c:v>
                </c:pt>
                <c:pt idx="12">
                  <c:v>0.76055619533712027</c:v>
                </c:pt>
                <c:pt idx="13">
                  <c:v>0.77696431959950596</c:v>
                </c:pt>
                <c:pt idx="14">
                  <c:v>0.79365666587114592</c:v>
                </c:pt>
                <c:pt idx="15">
                  <c:v>0.81056381047845716</c:v>
                </c:pt>
                <c:pt idx="16">
                  <c:v>0.82759702721937223</c:v>
                </c:pt>
                <c:pt idx="17">
                  <c:v>0.84464579725817013</c:v>
                </c:pt>
                <c:pt idx="18">
                  <c:v>0.86157591756120999</c:v>
                </c:pt>
                <c:pt idx="19">
                  <c:v>0.87822879614700133</c:v>
                </c:pt>
                <c:pt idx="20">
                  <c:v>0.89442270793640544</c:v>
                </c:pt>
                <c:pt idx="21">
                  <c:v>0.90995691196333561</c:v>
                </c:pt>
                <c:pt idx="22">
                  <c:v>0.92461949580195191</c:v>
                </c:pt>
                <c:pt idx="23">
                  <c:v>0.93819948174306167</c:v>
                </c:pt>
                <c:pt idx="24">
                  <c:v>0.95050298266883215</c:v>
                </c:pt>
                <c:pt idx="25">
                  <c:v>0.96137202437619051</c:v>
                </c:pt>
                <c:pt idx="26">
                  <c:v>0.97070327176050797</c:v>
                </c:pt>
                <c:pt idx="27">
                  <c:v>0.97846280783106132</c:v>
                </c:pt>
                <c:pt idx="28">
                  <c:v>0.98469297819439583</c:v>
                </c:pt>
                <c:pt idx="29">
                  <c:v>0.98950860625000803</c:v>
                </c:pt>
                <c:pt idx="30">
                  <c:v>0.99308247731305666</c:v>
                </c:pt>
                <c:pt idx="31">
                  <c:v>0.99562299473707649</c:v>
                </c:pt>
                <c:pt idx="32">
                  <c:v>0.9973490500456228</c:v>
                </c:pt>
                <c:pt idx="33">
                  <c:v>0.99846749336954532</c:v>
                </c:pt>
                <c:pt idx="34">
                  <c:v>0.99915712430610637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9B-4CC1-B521-AAF6A159B5D6}"/>
            </c:ext>
          </c:extLst>
        </c:ser>
        <c:ser>
          <c:idx val="2"/>
          <c:order val="2"/>
          <c:tx>
            <c:v>Waiting cancelation rate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'MMcKM example (en)'!$F$16:$F$50</c:f>
              <c:numCache>
                <c:formatCode>0.00%</c:formatCode>
                <c:ptCount val="35"/>
                <c:pt idx="0">
                  <c:v>8.2493922152403754E-3</c:v>
                </c:pt>
                <c:pt idx="1">
                  <c:v>9.277608777050252E-3</c:v>
                </c:pt>
                <c:pt idx="2">
                  <c:v>1.0444481141773349E-2</c:v>
                </c:pt>
                <c:pt idx="3">
                  <c:v>1.1769799144785043E-2</c:v>
                </c:pt>
                <c:pt idx="4">
                  <c:v>1.3276228912549665E-2</c:v>
                </c:pt>
                <c:pt idx="5">
                  <c:v>1.498970006114703E-2</c:v>
                </c:pt>
                <c:pt idx="6">
                  <c:v>1.6939824326272081E-2</c:v>
                </c:pt>
                <c:pt idx="7">
                  <c:v>1.9160337041915578E-2</c:v>
                </c:pt>
                <c:pt idx="8">
                  <c:v>2.1689545832791059E-2</c:v>
                </c:pt>
                <c:pt idx="9">
                  <c:v>2.4570760635531232E-2</c:v>
                </c:pt>
                <c:pt idx="10">
                  <c:v>2.7852664673909362E-2</c:v>
                </c:pt>
                <c:pt idx="11">
                  <c:v>3.1589566129218198E-2</c:v>
                </c:pt>
                <c:pt idx="12">
                  <c:v>3.5841443893546779E-2</c:v>
                </c:pt>
                <c:pt idx="13">
                  <c:v>4.0673667384448574E-2</c:v>
                </c:pt>
                <c:pt idx="14">
                  <c:v>4.6156230589959747E-2</c:v>
                </c:pt>
                <c:pt idx="15">
                  <c:v>5.2362297447471867E-2</c:v>
                </c:pt>
                <c:pt idx="16">
                  <c:v>5.9365816812371429E-2</c:v>
                </c:pt>
                <c:pt idx="17">
                  <c:v>6.7237944778836295E-2</c:v>
                </c:pt>
                <c:pt idx="18">
                  <c:v>7.6042033002705664E-2</c:v>
                </c:pt>
                <c:pt idx="19">
                  <c:v>8.5827036467534742E-2</c:v>
                </c:pt>
                <c:pt idx="20">
                  <c:v>9.6619401000993699E-2</c:v>
                </c:pt>
                <c:pt idx="21">
                  <c:v>0.10841384135768703</c:v>
                </c:pt>
                <c:pt idx="22">
                  <c:v>0.12116391582596106</c:v>
                </c:pt>
                <c:pt idx="23">
                  <c:v>0.1347738795168795</c:v>
                </c:pt>
                <c:pt idx="24">
                  <c:v>0.14909379693625846</c:v>
                </c:pt>
                <c:pt idx="25">
                  <c:v>0.16392006258333225</c:v>
                </c:pt>
                <c:pt idx="26">
                  <c:v>0.17900303927604155</c:v>
                </c:pt>
                <c:pt idx="27">
                  <c:v>0.19406232567555762</c:v>
                </c:pt>
                <c:pt idx="28">
                  <c:v>0.20880835591152902</c:v>
                </c:pt>
                <c:pt idx="29">
                  <c:v>0.22296714075873009</c:v>
                </c:pt>
                <c:pt idx="30">
                  <c:v>0.23630373253344256</c:v>
                </c:pt>
                <c:pt idx="31">
                  <c:v>0.24864004250065294</c:v>
                </c:pt>
                <c:pt idx="32">
                  <c:v>0.25986404833211363</c:v>
                </c:pt>
                <c:pt idx="33">
                  <c:v>0.26992966819177744</c:v>
                </c:pt>
                <c:pt idx="34">
                  <c:v>0.27884877454440932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9B-4CC1-B521-AAF6A159B5D6}"/>
            </c:ext>
          </c:extLst>
        </c:ser>
        <c:ser>
          <c:idx val="3"/>
          <c:order val="3"/>
          <c:tx>
            <c:v>System entry rejection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'MMcKM example (en)'!$E$16:$E$50</c:f>
              <c:numCache>
                <c:formatCode>0.00%</c:formatCode>
                <c:ptCount val="35"/>
                <c:pt idx="0">
                  <c:v>2.3296950687024362E-5</c:v>
                </c:pt>
                <c:pt idx="1">
                  <c:v>3.084142605285673E-5</c:v>
                </c:pt>
                <c:pt idx="2">
                  <c:v>4.0953668215707646E-5</c:v>
                </c:pt>
                <c:pt idx="3">
                  <c:v>5.454693206839797E-5</c:v>
                </c:pt>
                <c:pt idx="4">
                  <c:v>7.287151724561876E-5</c:v>
                </c:pt>
                <c:pt idx="5">
                  <c:v>9.7642652278741001E-5</c:v>
                </c:pt>
                <c:pt idx="6">
                  <c:v>1.3121760591332555E-4</c:v>
                </c:pt>
                <c:pt idx="7">
                  <c:v>1.7684084760852012E-4</c:v>
                </c:pt>
                <c:pt idx="8">
                  <c:v>2.3898295506966894E-4</c:v>
                </c:pt>
                <c:pt idx="9">
                  <c:v>3.2380803430487396E-4</c:v>
                </c:pt>
                <c:pt idx="10">
                  <c:v>4.3981610030847468E-4</c:v>
                </c:pt>
                <c:pt idx="11">
                  <c:v>5.9872142266259652E-4</c:v>
                </c:pt>
                <c:pt idx="12">
                  <c:v>8.1664508509925778E-4</c:v>
                </c:pt>
                <c:pt idx="13">
                  <c:v>1.1157188189644983E-3</c:v>
                </c:pt>
                <c:pt idx="14">
                  <c:v>1.5262146814309892E-3</c:v>
                </c:pt>
                <c:pt idx="15">
                  <c:v>2.0893255467376286E-3</c:v>
                </c:pt>
                <c:pt idx="16">
                  <c:v>2.8607143142734895E-3</c:v>
                </c:pt>
                <c:pt idx="17">
                  <c:v>3.9149086487129201E-3</c:v>
                </c:pt>
                <c:pt idx="18">
                  <c:v>5.3505192969651814E-3</c:v>
                </c:pt>
                <c:pt idx="19">
                  <c:v>7.2960746452079943E-3</c:v>
                </c:pt>
                <c:pt idx="20">
                  <c:v>9.9159657319700962E-3</c:v>
                </c:pt>
                <c:pt idx="21">
                  <c:v>1.3415578100310408E-2</c:v>
                </c:pt>
                <c:pt idx="22">
                  <c:v>1.8044193198007881E-2</c:v>
                </c:pt>
                <c:pt idx="23">
                  <c:v>2.4093802095023237E-2</c:v>
                </c:pt>
                <c:pt idx="24">
                  <c:v>3.1891824644963332E-2</c:v>
                </c:pt>
                <c:pt idx="25">
                  <c:v>4.178617642445738E-2</c:v>
                </c:pt>
                <c:pt idx="26">
                  <c:v>5.4122421204056297E-2</c:v>
                </c:pt>
                <c:pt idx="27">
                  <c:v>6.9214849689281516E-2</c:v>
                </c:pt>
                <c:pt idx="28">
                  <c:v>8.7315709911014339E-2</c:v>
                </c:pt>
                <c:pt idx="29">
                  <c:v>0.1085885028705908</c:v>
                </c:pt>
                <c:pt idx="30">
                  <c:v>0.13309123917596885</c:v>
                </c:pt>
                <c:pt idx="31">
                  <c:v>0.16077344326577778</c:v>
                </c:pt>
                <c:pt idx="32">
                  <c:v>0.1914871468155733</c:v>
                </c:pt>
                <c:pt idx="33">
                  <c:v>0.22500857576093328</c:v>
                </c:pt>
                <c:pt idx="34">
                  <c:v>0.2610651125313258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9B-4CC1-B521-AAF6A159B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136016"/>
        <c:axId val="1312136496"/>
      </c:lineChart>
      <c:catAx>
        <c:axId val="131213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Average inter-arrival time E[I] (in 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496"/>
        <c:crosses val="autoZero"/>
        <c:auto val="1"/>
        <c:lblAlgn val="ctr"/>
        <c:lblOffset val="100"/>
        <c:noMultiLvlLbl val="0"/>
      </c:catAx>
      <c:valAx>
        <c:axId val="1312136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Probability</a:t>
                </a:r>
                <a:r>
                  <a:rPr lang="de-DE" baseline="0">
                    <a:solidFill>
                      <a:sysClr val="windowText" lastClr="000000"/>
                    </a:solidFill>
                  </a:rPr>
                  <a:t> / Utilization</a:t>
                </a:r>
                <a:endParaRPr lang="de-DE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Auswirkungen der Variation der Ankunftsrate (und damit der Auslastung)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Mittlere Warteschlangenlänge E[NQ]</c:v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'MMcKM example (de)'!$A$16:$A$35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'MMcKM example (de)'!$I$16:$I$35</c:f>
              <c:numCache>
                <c:formatCode>0.00</c:formatCode>
                <c:ptCount val="20"/>
                <c:pt idx="0">
                  <c:v>9.8990400354680846E-2</c:v>
                </c:pt>
                <c:pt idx="1">
                  <c:v>0.1135998690901862</c:v>
                </c:pt>
                <c:pt idx="2">
                  <c:v>0.13055066752447478</c:v>
                </c:pt>
                <c:pt idx="3">
                  <c:v>0.15024455921298679</c:v>
                </c:pt>
                <c:pt idx="4">
                  <c:v>0.17315558417746307</c:v>
                </c:pt>
                <c:pt idx="5">
                  <c:v>0.19984315236101594</c:v>
                </c:pt>
                <c:pt idx="6">
                  <c:v>0.23096729349653733</c:v>
                </c:pt>
                <c:pt idx="7">
                  <c:v>0.26730626109310646</c:v>
                </c:pt>
                <c:pt idx="8">
                  <c:v>0.30977660572905441</c:v>
                </c:pt>
                <c:pt idx="9">
                  <c:v>0.35945567452431898</c:v>
                </c:pt>
                <c:pt idx="10">
                  <c:v>0.41760621935323905</c:v>
                </c:pt>
                <c:pt idx="11">
                  <c:v>0.485702350449908</c:v>
                </c:pt>
                <c:pt idx="12">
                  <c:v>0.56545538138760398</c:v>
                </c:pt>
                <c:pt idx="13">
                  <c:v>0.65883708662126683</c:v>
                </c:pt>
                <c:pt idx="14">
                  <c:v>0.76809643788656379</c:v>
                </c:pt>
                <c:pt idx="15">
                  <c:v>0.89576392391535398</c:v>
                </c:pt>
                <c:pt idx="16">
                  <c:v>1.0446350853606658</c:v>
                </c:pt>
                <c:pt idx="17">
                  <c:v>1.2177220794054535</c:v>
                </c:pt>
                <c:pt idx="18">
                  <c:v>1.4181594119577035</c:v>
                </c:pt>
                <c:pt idx="19">
                  <c:v>1.6490484387656248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28-4084-A4B3-DF5A3C0DD40C}"/>
            </c:ext>
          </c:extLst>
        </c:ser>
        <c:ser>
          <c:idx val="1"/>
          <c:order val="1"/>
          <c:tx>
            <c:v>Mittlere Anzahl an Kunden im System E[N]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'MMcKM example (de)'!$A$16:$A$35</c:f>
              <c:numCache>
                <c:formatCode>General</c:formatCode>
                <c:ptCount val="20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</c:numCache>
            </c:numRef>
          </c:cat>
          <c:val>
            <c:numRef>
              <c:f>'MMcKM example (de)'!$J$16:$J$35</c:f>
              <c:numCache>
                <c:formatCode>0.00</c:formatCode>
                <c:ptCount val="20"/>
                <c:pt idx="0">
                  <c:v>6.0493554184732181</c:v>
                </c:pt>
                <c:pt idx="1">
                  <c:v>6.1790600890794627</c:v>
                </c:pt>
                <c:pt idx="2">
                  <c:v>6.315019373335887</c:v>
                </c:pt>
                <c:pt idx="3">
                  <c:v>6.4577528311039263</c:v>
                </c:pt>
                <c:pt idx="4">
                  <c:v>6.6078416734979992</c:v>
                </c:pt>
                <c:pt idx="5">
                  <c:v>6.7659372918319809</c:v>
                </c:pt>
                <c:pt idx="6">
                  <c:v>6.9327707994352226</c:v>
                </c:pt>
                <c:pt idx="7">
                  <c:v>7.1091635432376581</c:v>
                </c:pt>
                <c:pt idx="8">
                  <c:v>7.2960384246140286</c:v>
                </c:pt>
                <c:pt idx="9">
                  <c:v>7.4944316809135865</c:v>
                </c:pt>
                <c:pt idx="10">
                  <c:v>7.7055044889243067</c:v>
                </c:pt>
                <c:pt idx="11">
                  <c:v>7.9305533181275516</c:v>
                </c:pt>
                <c:pt idx="12">
                  <c:v>8.1710173347588029</c:v>
                </c:pt>
                <c:pt idx="13">
                  <c:v>8.428480282616329</c:v>
                </c:pt>
                <c:pt idx="14">
                  <c:v>8.7046630965980203</c:v>
                </c:pt>
                <c:pt idx="15">
                  <c:v>9.0014020286999266</c:v>
                </c:pt>
                <c:pt idx="16">
                  <c:v>9.3206053575543901</c:v>
                </c:pt>
                <c:pt idx="17">
                  <c:v>9.6641800519871506</c:v>
                </c:pt>
                <c:pt idx="18">
                  <c:v>10.033918587569808</c:v>
                </c:pt>
                <c:pt idx="19">
                  <c:v>10.43133640023564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28-4084-A4B3-DF5A3C0DD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136016"/>
        <c:axId val="1312136496"/>
      </c:lineChart>
      <c:lineChart>
        <c:grouping val="standard"/>
        <c:varyColors val="0"/>
        <c:ser>
          <c:idx val="2"/>
          <c:order val="2"/>
          <c:tx>
            <c:v>Mittlere Warezeit E[W] (in Sek.)</c:v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'MMcKM example (de)'!$K$16:$K$35</c:f>
              <c:numCache>
                <c:formatCode>0.00</c:formatCode>
                <c:ptCount val="20"/>
                <c:pt idx="0">
                  <c:v>4.9495200177340424</c:v>
                </c:pt>
                <c:pt idx="1">
                  <c:v>5.5663935854191244</c:v>
                </c:pt>
                <c:pt idx="2">
                  <c:v>6.2664320411747898</c:v>
                </c:pt>
                <c:pt idx="3">
                  <c:v>7.0614942830103793</c:v>
                </c:pt>
                <c:pt idx="4">
                  <c:v>7.9651568721633019</c:v>
                </c:pt>
                <c:pt idx="5">
                  <c:v>8.9929418562457162</c:v>
                </c:pt>
                <c:pt idx="6">
                  <c:v>10.162560913847642</c:v>
                </c:pt>
                <c:pt idx="7">
                  <c:v>11.494169227003578</c:v>
                </c:pt>
                <c:pt idx="8">
                  <c:v>13.010617440620287</c:v>
                </c:pt>
                <c:pt idx="9">
                  <c:v>14.737682655497078</c:v>
                </c:pt>
                <c:pt idx="10">
                  <c:v>16.70424877412956</c:v>
                </c:pt>
                <c:pt idx="11">
                  <c:v>18.942391667546413</c:v>
                </c:pt>
                <c:pt idx="12">
                  <c:v>21.487304492728953</c:v>
                </c:pt>
                <c:pt idx="13">
                  <c:v>24.37697220498687</c:v>
                </c:pt>
                <c:pt idx="14">
                  <c:v>27.651471763916298</c:v>
                </c:pt>
                <c:pt idx="15">
                  <c:v>31.351737337037392</c:v>
                </c:pt>
                <c:pt idx="16">
                  <c:v>35.517592902262642</c:v>
                </c:pt>
                <c:pt idx="17">
                  <c:v>40.184828620379967</c:v>
                </c:pt>
                <c:pt idx="18">
                  <c:v>45.38110118264651</c:v>
                </c:pt>
                <c:pt idx="19">
                  <c:v>51.120501601734368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28-4084-A4B3-DF5A3C0DD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316448"/>
        <c:axId val="1539418112"/>
      </c:lineChart>
      <c:catAx>
        <c:axId val="131213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Mittlere Zwischenankunftszeit E[I] (in Sekunden)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496"/>
        <c:crosses val="autoZero"/>
        <c:auto val="1"/>
        <c:lblAlgn val="ctr"/>
        <c:lblOffset val="100"/>
        <c:noMultiLvlLbl val="0"/>
      </c:catAx>
      <c:valAx>
        <c:axId val="13121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7030A0"/>
                    </a:solidFill>
                  </a:rPr>
                  <a:t>Mittlere Anzahl an Kunden in der Warteschlange / im System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016"/>
        <c:crosses val="autoZero"/>
        <c:crossBetween val="between"/>
      </c:valAx>
      <c:valAx>
        <c:axId val="15394181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Mittlere Wartezeit (in Sekunden)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316448"/>
        <c:crosses val="max"/>
        <c:crossBetween val="between"/>
      </c:valAx>
      <c:catAx>
        <c:axId val="1446316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9418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Auswirkungen der Variation der Ankunftsrate (und damit der Auslastung)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Auslastung (Systemeingang)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'MMcKM example (de)'!$D$16:$D$50</c:f>
              <c:numCache>
                <c:formatCode>0%</c:formatCode>
                <c:ptCount val="35"/>
                <c:pt idx="0">
                  <c:v>0.6</c:v>
                </c:pt>
                <c:pt idx="1">
                  <c:v>0.61224489795918358</c:v>
                </c:pt>
                <c:pt idx="2">
                  <c:v>0.62499999999999989</c:v>
                </c:pt>
                <c:pt idx="3">
                  <c:v>0.63829787234042545</c:v>
                </c:pt>
                <c:pt idx="4">
                  <c:v>0.65217391304347827</c:v>
                </c:pt>
                <c:pt idx="5">
                  <c:v>0.66666666666666663</c:v>
                </c:pt>
                <c:pt idx="6">
                  <c:v>0.68181818181818188</c:v>
                </c:pt>
                <c:pt idx="7">
                  <c:v>0.69767441860465107</c:v>
                </c:pt>
                <c:pt idx="8">
                  <c:v>0.71428571428571419</c:v>
                </c:pt>
                <c:pt idx="9">
                  <c:v>0.73170731707317072</c:v>
                </c:pt>
                <c:pt idx="10">
                  <c:v>0.75</c:v>
                </c:pt>
                <c:pt idx="11">
                  <c:v>0.76923076923076916</c:v>
                </c:pt>
                <c:pt idx="12">
                  <c:v>0.78947368421052622</c:v>
                </c:pt>
                <c:pt idx="13">
                  <c:v>0.81081081081081086</c:v>
                </c:pt>
                <c:pt idx="14">
                  <c:v>0.83333333333333326</c:v>
                </c:pt>
                <c:pt idx="15">
                  <c:v>0.8571428571428571</c:v>
                </c:pt>
                <c:pt idx="16">
                  <c:v>0.88235294117647045</c:v>
                </c:pt>
                <c:pt idx="17">
                  <c:v>0.90909090909090895</c:v>
                </c:pt>
                <c:pt idx="18">
                  <c:v>0.9375</c:v>
                </c:pt>
                <c:pt idx="19">
                  <c:v>0.96774193548387077</c:v>
                </c:pt>
                <c:pt idx="20">
                  <c:v>1</c:v>
                </c:pt>
                <c:pt idx="21">
                  <c:v>1.0344827586206895</c:v>
                </c:pt>
                <c:pt idx="22">
                  <c:v>1.0714285714285714</c:v>
                </c:pt>
                <c:pt idx="23">
                  <c:v>1.1111111111111109</c:v>
                </c:pt>
                <c:pt idx="24">
                  <c:v>1.1538461538461537</c:v>
                </c:pt>
                <c:pt idx="25">
                  <c:v>1.2</c:v>
                </c:pt>
                <c:pt idx="26">
                  <c:v>1.2499999999999998</c:v>
                </c:pt>
                <c:pt idx="27">
                  <c:v>1.3043478260869565</c:v>
                </c:pt>
                <c:pt idx="28">
                  <c:v>1.3636363636363638</c:v>
                </c:pt>
                <c:pt idx="29">
                  <c:v>1.4285714285714284</c:v>
                </c:pt>
                <c:pt idx="30">
                  <c:v>1.5</c:v>
                </c:pt>
                <c:pt idx="31">
                  <c:v>1.5789473684210524</c:v>
                </c:pt>
                <c:pt idx="32">
                  <c:v>1.6666666666666665</c:v>
                </c:pt>
                <c:pt idx="33">
                  <c:v>1.7647058823529409</c:v>
                </c:pt>
                <c:pt idx="34">
                  <c:v>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7-4824-A941-29A57D8159E8}"/>
            </c:ext>
          </c:extLst>
        </c:ser>
        <c:ser>
          <c:idx val="1"/>
          <c:order val="1"/>
          <c:tx>
            <c:v>Auslastung (real)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'MMcKM example (de)'!$H$16:$H$50</c:f>
              <c:numCache>
                <c:formatCode>0%</c:formatCode>
                <c:ptCount val="35"/>
                <c:pt idx="0">
                  <c:v>0.59503650181185375</c:v>
                </c:pt>
                <c:pt idx="1">
                  <c:v>0.6065460219989276</c:v>
                </c:pt>
                <c:pt idx="2">
                  <c:v>0.61844687058114134</c:v>
                </c:pt>
                <c:pt idx="3">
                  <c:v>0.63075082718909414</c:v>
                </c:pt>
                <c:pt idx="4">
                  <c:v>0.64346860893205349</c:v>
                </c:pt>
                <c:pt idx="5">
                  <c:v>0.65660941394709671</c:v>
                </c:pt>
                <c:pt idx="6">
                  <c:v>0.6701803505938686</c:v>
                </c:pt>
                <c:pt idx="7">
                  <c:v>0.684185728214455</c:v>
                </c:pt>
                <c:pt idx="8">
                  <c:v>0.69862618188849734</c:v>
                </c:pt>
                <c:pt idx="9">
                  <c:v>0.71349760063892675</c:v>
                </c:pt>
                <c:pt idx="10">
                  <c:v>0.72878982695710648</c:v>
                </c:pt>
                <c:pt idx="11">
                  <c:v>0.7444850967677642</c:v>
                </c:pt>
                <c:pt idx="12">
                  <c:v>0.76055619533712027</c:v>
                </c:pt>
                <c:pt idx="13">
                  <c:v>0.77696431959950596</c:v>
                </c:pt>
                <c:pt idx="14">
                  <c:v>0.79365666587114592</c:v>
                </c:pt>
                <c:pt idx="15">
                  <c:v>0.81056381047845716</c:v>
                </c:pt>
                <c:pt idx="16">
                  <c:v>0.82759702721937223</c:v>
                </c:pt>
                <c:pt idx="17">
                  <c:v>0.84464579725817013</c:v>
                </c:pt>
                <c:pt idx="18">
                  <c:v>0.86157591756120999</c:v>
                </c:pt>
                <c:pt idx="19">
                  <c:v>0.87822879614700133</c:v>
                </c:pt>
                <c:pt idx="20">
                  <c:v>0.89442270793640544</c:v>
                </c:pt>
                <c:pt idx="21">
                  <c:v>0.90995691196333561</c:v>
                </c:pt>
                <c:pt idx="22">
                  <c:v>0.92461949580195191</c:v>
                </c:pt>
                <c:pt idx="23">
                  <c:v>0.93819948174306167</c:v>
                </c:pt>
                <c:pt idx="24">
                  <c:v>0.95050298266883215</c:v>
                </c:pt>
                <c:pt idx="25">
                  <c:v>0.96137202437619051</c:v>
                </c:pt>
                <c:pt idx="26">
                  <c:v>0.97070327176050797</c:v>
                </c:pt>
                <c:pt idx="27">
                  <c:v>0.97846280783106132</c:v>
                </c:pt>
                <c:pt idx="28">
                  <c:v>0.98469297819439583</c:v>
                </c:pt>
                <c:pt idx="29">
                  <c:v>0.98950860625000803</c:v>
                </c:pt>
                <c:pt idx="30">
                  <c:v>0.99308247731305666</c:v>
                </c:pt>
                <c:pt idx="31">
                  <c:v>0.99562299473707649</c:v>
                </c:pt>
                <c:pt idx="32">
                  <c:v>0.9973490500456228</c:v>
                </c:pt>
                <c:pt idx="33">
                  <c:v>0.99846749336954532</c:v>
                </c:pt>
                <c:pt idx="34">
                  <c:v>0.99915712430610637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7-4824-A941-29A57D8159E8}"/>
            </c:ext>
          </c:extLst>
        </c:ser>
        <c:ser>
          <c:idx val="2"/>
          <c:order val="2"/>
          <c:tx>
            <c:v>Anteil an Warteabbrechern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'MMcKM example (de)'!$F$16:$F$50</c:f>
              <c:numCache>
                <c:formatCode>0.00%</c:formatCode>
                <c:ptCount val="35"/>
                <c:pt idx="0">
                  <c:v>8.2493922152403754E-3</c:v>
                </c:pt>
                <c:pt idx="1">
                  <c:v>9.277608777050252E-3</c:v>
                </c:pt>
                <c:pt idx="2">
                  <c:v>1.0444481141773349E-2</c:v>
                </c:pt>
                <c:pt idx="3">
                  <c:v>1.1769799144785043E-2</c:v>
                </c:pt>
                <c:pt idx="4">
                  <c:v>1.3276228912549665E-2</c:v>
                </c:pt>
                <c:pt idx="5">
                  <c:v>1.498970006114703E-2</c:v>
                </c:pt>
                <c:pt idx="6">
                  <c:v>1.6939824326272081E-2</c:v>
                </c:pt>
                <c:pt idx="7">
                  <c:v>1.9160337041915578E-2</c:v>
                </c:pt>
                <c:pt idx="8">
                  <c:v>2.1689545832791059E-2</c:v>
                </c:pt>
                <c:pt idx="9">
                  <c:v>2.4570760635531232E-2</c:v>
                </c:pt>
                <c:pt idx="10">
                  <c:v>2.7852664673909362E-2</c:v>
                </c:pt>
                <c:pt idx="11">
                  <c:v>3.1589566129218198E-2</c:v>
                </c:pt>
                <c:pt idx="12">
                  <c:v>3.5841443893546779E-2</c:v>
                </c:pt>
                <c:pt idx="13">
                  <c:v>4.0673667384448574E-2</c:v>
                </c:pt>
                <c:pt idx="14">
                  <c:v>4.6156230589959747E-2</c:v>
                </c:pt>
                <c:pt idx="15">
                  <c:v>5.2362297447471867E-2</c:v>
                </c:pt>
                <c:pt idx="16">
                  <c:v>5.9365816812371429E-2</c:v>
                </c:pt>
                <c:pt idx="17">
                  <c:v>6.7237944778836295E-2</c:v>
                </c:pt>
                <c:pt idx="18">
                  <c:v>7.6042033002705664E-2</c:v>
                </c:pt>
                <c:pt idx="19">
                  <c:v>8.5827036467534742E-2</c:v>
                </c:pt>
                <c:pt idx="20">
                  <c:v>9.6619401000993699E-2</c:v>
                </c:pt>
                <c:pt idx="21">
                  <c:v>0.10841384135768703</c:v>
                </c:pt>
                <c:pt idx="22">
                  <c:v>0.12116391582596106</c:v>
                </c:pt>
                <c:pt idx="23">
                  <c:v>0.1347738795168795</c:v>
                </c:pt>
                <c:pt idx="24">
                  <c:v>0.14909379693625846</c:v>
                </c:pt>
                <c:pt idx="25">
                  <c:v>0.16392006258333225</c:v>
                </c:pt>
                <c:pt idx="26">
                  <c:v>0.17900303927604155</c:v>
                </c:pt>
                <c:pt idx="27">
                  <c:v>0.19406232567555762</c:v>
                </c:pt>
                <c:pt idx="28">
                  <c:v>0.20880835591152902</c:v>
                </c:pt>
                <c:pt idx="29">
                  <c:v>0.22296714075873009</c:v>
                </c:pt>
                <c:pt idx="30">
                  <c:v>0.23630373253344256</c:v>
                </c:pt>
                <c:pt idx="31">
                  <c:v>0.24864004250065294</c:v>
                </c:pt>
                <c:pt idx="32">
                  <c:v>0.25986404833211363</c:v>
                </c:pt>
                <c:pt idx="33">
                  <c:v>0.26992966819177744</c:v>
                </c:pt>
                <c:pt idx="34">
                  <c:v>0.27884877454440932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7-4824-A941-29A57D8159E8}"/>
            </c:ext>
          </c:extLst>
        </c:ser>
        <c:ser>
          <c:idx val="3"/>
          <c:order val="3"/>
          <c:tx>
            <c:v>Anteil Abweisungen am Systemeingang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'MMcKM example (de)'!$E$16:$E$50</c:f>
              <c:numCache>
                <c:formatCode>0.00%</c:formatCode>
                <c:ptCount val="35"/>
                <c:pt idx="0">
                  <c:v>2.3296950687024362E-5</c:v>
                </c:pt>
                <c:pt idx="1">
                  <c:v>3.084142605285673E-5</c:v>
                </c:pt>
                <c:pt idx="2">
                  <c:v>4.0953668215707646E-5</c:v>
                </c:pt>
                <c:pt idx="3">
                  <c:v>5.454693206839797E-5</c:v>
                </c:pt>
                <c:pt idx="4">
                  <c:v>7.287151724561876E-5</c:v>
                </c:pt>
                <c:pt idx="5">
                  <c:v>9.7642652278741001E-5</c:v>
                </c:pt>
                <c:pt idx="6">
                  <c:v>1.3121760591332555E-4</c:v>
                </c:pt>
                <c:pt idx="7">
                  <c:v>1.7684084760852012E-4</c:v>
                </c:pt>
                <c:pt idx="8">
                  <c:v>2.3898295506966894E-4</c:v>
                </c:pt>
                <c:pt idx="9">
                  <c:v>3.2380803430487396E-4</c:v>
                </c:pt>
                <c:pt idx="10">
                  <c:v>4.3981610030847468E-4</c:v>
                </c:pt>
                <c:pt idx="11">
                  <c:v>5.9872142266259652E-4</c:v>
                </c:pt>
                <c:pt idx="12">
                  <c:v>8.1664508509925778E-4</c:v>
                </c:pt>
                <c:pt idx="13">
                  <c:v>1.1157188189644983E-3</c:v>
                </c:pt>
                <c:pt idx="14">
                  <c:v>1.5262146814309892E-3</c:v>
                </c:pt>
                <c:pt idx="15">
                  <c:v>2.0893255467376286E-3</c:v>
                </c:pt>
                <c:pt idx="16">
                  <c:v>2.8607143142734895E-3</c:v>
                </c:pt>
                <c:pt idx="17">
                  <c:v>3.9149086487129201E-3</c:v>
                </c:pt>
                <c:pt idx="18">
                  <c:v>5.3505192969651814E-3</c:v>
                </c:pt>
                <c:pt idx="19">
                  <c:v>7.2960746452079943E-3</c:v>
                </c:pt>
                <c:pt idx="20">
                  <c:v>9.9159657319700962E-3</c:v>
                </c:pt>
                <c:pt idx="21">
                  <c:v>1.3415578100310408E-2</c:v>
                </c:pt>
                <c:pt idx="22">
                  <c:v>1.8044193198007881E-2</c:v>
                </c:pt>
                <c:pt idx="23">
                  <c:v>2.4093802095023237E-2</c:v>
                </c:pt>
                <c:pt idx="24">
                  <c:v>3.1891824644963332E-2</c:v>
                </c:pt>
                <c:pt idx="25">
                  <c:v>4.178617642445738E-2</c:v>
                </c:pt>
                <c:pt idx="26">
                  <c:v>5.4122421204056297E-2</c:v>
                </c:pt>
                <c:pt idx="27">
                  <c:v>6.9214849689281516E-2</c:v>
                </c:pt>
                <c:pt idx="28">
                  <c:v>8.7315709911014339E-2</c:v>
                </c:pt>
                <c:pt idx="29">
                  <c:v>0.1085885028705908</c:v>
                </c:pt>
                <c:pt idx="30">
                  <c:v>0.13309123917596885</c:v>
                </c:pt>
                <c:pt idx="31">
                  <c:v>0.16077344326577778</c:v>
                </c:pt>
                <c:pt idx="32">
                  <c:v>0.1914871468155733</c:v>
                </c:pt>
                <c:pt idx="33">
                  <c:v>0.22500857576093328</c:v>
                </c:pt>
                <c:pt idx="34">
                  <c:v>0.2610651125313258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7-4824-A941-29A57D815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136016"/>
        <c:axId val="1312136496"/>
      </c:lineChart>
      <c:catAx>
        <c:axId val="131213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Mittlere Zwischenankunftszeit E[I] (in Sekunden)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496"/>
        <c:crosses val="autoZero"/>
        <c:auto val="1"/>
        <c:lblAlgn val="ctr"/>
        <c:lblOffset val="100"/>
        <c:noMultiLvlLbl val="0"/>
      </c:catAx>
      <c:valAx>
        <c:axId val="1312136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Wahrscheinlichkeit / Auslastung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213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3174</xdr:colOff>
      <xdr:row>8</xdr:row>
      <xdr:rowOff>177800</xdr:rowOff>
    </xdr:from>
    <xdr:to>
      <xdr:col>18</xdr:col>
      <xdr:colOff>6349</xdr:colOff>
      <xdr:row>31</xdr:row>
      <xdr:rowOff>171450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9293263-3C11-76AE-1583-DFAE9773D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3174</xdr:colOff>
      <xdr:row>8</xdr:row>
      <xdr:rowOff>177800</xdr:rowOff>
    </xdr:from>
    <xdr:to>
      <xdr:col>18</xdr:col>
      <xdr:colOff>6349</xdr:colOff>
      <xdr:row>31</xdr:row>
      <xdr:rowOff>171450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DD70A1B-5F3D-4CE8-9C02-7CF2A989B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3174</xdr:colOff>
      <xdr:row>11</xdr:row>
      <xdr:rowOff>177800</xdr:rowOff>
    </xdr:from>
    <xdr:to>
      <xdr:col>22</xdr:col>
      <xdr:colOff>6349</xdr:colOff>
      <xdr:row>34</xdr:row>
      <xdr:rowOff>171450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E905A97-D847-4912-B5C9-0084778A1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12700</xdr:colOff>
      <xdr:row>36</xdr:row>
      <xdr:rowOff>19050</xdr:rowOff>
    </xdr:from>
    <xdr:to>
      <xdr:col>22</xdr:col>
      <xdr:colOff>15875</xdr:colOff>
      <xdr:row>59</xdr:row>
      <xdr:rowOff>12700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18118DA7-749D-4A2E-909F-595FC1E884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3174</xdr:colOff>
      <xdr:row>11</xdr:row>
      <xdr:rowOff>177800</xdr:rowOff>
    </xdr:from>
    <xdr:to>
      <xdr:col>22</xdr:col>
      <xdr:colOff>6349</xdr:colOff>
      <xdr:row>34</xdr:row>
      <xdr:rowOff>171450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E8DBE26-0395-499C-8685-C3CF9F734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12700</xdr:colOff>
      <xdr:row>36</xdr:row>
      <xdr:rowOff>19050</xdr:rowOff>
    </xdr:from>
    <xdr:to>
      <xdr:col>22</xdr:col>
      <xdr:colOff>15875</xdr:colOff>
      <xdr:row>59</xdr:row>
      <xdr:rowOff>12700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D1DEE84-0164-43FF-B343-EEF60F40A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FA1DA-8877-4A08-B4EA-070401A475A8}">
  <sheetPr codeName="Tabelle4"/>
  <dimension ref="A1:H84"/>
  <sheetViews>
    <sheetView tabSelected="1" workbookViewId="0">
      <selection sqref="A1:H1"/>
    </sheetView>
  </sheetViews>
  <sheetFormatPr baseColWidth="10" defaultRowHeight="14.5" x14ac:dyDescent="0.35"/>
  <cols>
    <col min="1" max="1" width="8.453125" customWidth="1"/>
    <col min="2" max="2" width="7" customWidth="1"/>
    <col min="5" max="5" width="5.54296875" customWidth="1"/>
    <col min="6" max="6" width="7" customWidth="1"/>
    <col min="7" max="7" width="4.54296875" customWidth="1"/>
    <col min="8" max="8" width="29.81640625" customWidth="1"/>
  </cols>
  <sheetData>
    <row r="1" spans="1:8" ht="21" x14ac:dyDescent="0.5">
      <c r="A1" s="27" t="s">
        <v>79</v>
      </c>
      <c r="B1" s="27"/>
      <c r="C1" s="27"/>
      <c r="D1" s="27"/>
      <c r="E1" s="27"/>
      <c r="F1" s="27"/>
      <c r="G1" s="27"/>
      <c r="H1" s="27"/>
    </row>
    <row r="3" spans="1:8" x14ac:dyDescent="0.35">
      <c r="A3" t="s">
        <v>80</v>
      </c>
    </row>
    <row r="4" spans="1:8" x14ac:dyDescent="0.35">
      <c r="A4" t="s">
        <v>81</v>
      </c>
    </row>
    <row r="5" spans="1:8" x14ac:dyDescent="0.35">
      <c r="A5" t="s">
        <v>83</v>
      </c>
    </row>
    <row r="6" spans="1:8" x14ac:dyDescent="0.35">
      <c r="A6" t="s">
        <v>84</v>
      </c>
    </row>
    <row r="9" spans="1:8" ht="20" x14ac:dyDescent="0.55000000000000004">
      <c r="A9" s="26" t="s">
        <v>85</v>
      </c>
      <c r="B9" s="26"/>
      <c r="C9" s="26"/>
      <c r="D9" s="26"/>
      <c r="E9" s="26"/>
      <c r="F9" s="26"/>
      <c r="G9" s="26"/>
      <c r="H9" s="26"/>
    </row>
    <row r="10" spans="1:8" x14ac:dyDescent="0.35">
      <c r="A10" s="2"/>
    </row>
    <row r="11" spans="1:8" x14ac:dyDescent="0.35">
      <c r="A11" s="3" t="s">
        <v>47</v>
      </c>
    </row>
    <row r="12" spans="1:8" x14ac:dyDescent="0.35">
      <c r="A12" t="s">
        <v>121</v>
      </c>
    </row>
    <row r="13" spans="1:8" x14ac:dyDescent="0.35">
      <c r="A13" t="s">
        <v>129</v>
      </c>
    </row>
    <row r="15" spans="1:8" x14ac:dyDescent="0.35">
      <c r="A15" t="s">
        <v>0</v>
      </c>
      <c r="B15" s="5">
        <v>0.8</v>
      </c>
      <c r="C15" s="4" t="s">
        <v>88</v>
      </c>
      <c r="F15" s="8" t="s">
        <v>24</v>
      </c>
      <c r="G15" s="10">
        <f>B15</f>
        <v>0.8</v>
      </c>
      <c r="H15" s="9" t="s">
        <v>153</v>
      </c>
    </row>
    <row r="16" spans="1:8" x14ac:dyDescent="0.35">
      <c r="A16" t="s">
        <v>2</v>
      </c>
      <c r="B16" s="5">
        <v>3</v>
      </c>
      <c r="C16" s="4" t="s">
        <v>89</v>
      </c>
    </row>
    <row r="17" spans="1:8" x14ac:dyDescent="0.35">
      <c r="A17" t="s">
        <v>87</v>
      </c>
      <c r="B17" s="6">
        <f>B15^B16*(1-B15)</f>
        <v>0.1024</v>
      </c>
      <c r="C17" s="4" t="s">
        <v>90</v>
      </c>
    </row>
    <row r="18" spans="1:8" x14ac:dyDescent="0.35">
      <c r="B18" s="1"/>
      <c r="C18" s="4"/>
    </row>
    <row r="20" spans="1:8" ht="17" x14ac:dyDescent="0.4">
      <c r="A20" s="26" t="s">
        <v>92</v>
      </c>
      <c r="B20" s="26"/>
      <c r="C20" s="26"/>
      <c r="D20" s="26"/>
      <c r="E20" s="26"/>
      <c r="F20" s="26"/>
      <c r="G20" s="26"/>
      <c r="H20" s="26"/>
    </row>
    <row r="22" spans="1:8" x14ac:dyDescent="0.35">
      <c r="A22" s="3" t="s">
        <v>49</v>
      </c>
    </row>
    <row r="23" spans="1:8" x14ac:dyDescent="0.35">
      <c r="A23" t="s">
        <v>122</v>
      </c>
    </row>
    <row r="24" spans="1:8" x14ac:dyDescent="0.35">
      <c r="A24" t="s">
        <v>130</v>
      </c>
    </row>
    <row r="26" spans="1:8" x14ac:dyDescent="0.35">
      <c r="A26" t="s">
        <v>3</v>
      </c>
      <c r="B26" s="5">
        <v>0.01</v>
      </c>
      <c r="C26" s="4" t="s">
        <v>95</v>
      </c>
      <c r="F26" s="8" t="s">
        <v>22</v>
      </c>
      <c r="G26" s="9">
        <f>1/B26</f>
        <v>100</v>
      </c>
      <c r="H26" s="9" t="s">
        <v>97</v>
      </c>
    </row>
    <row r="27" spans="1:8" x14ac:dyDescent="0.35">
      <c r="A27" t="s">
        <v>4</v>
      </c>
      <c r="B27" s="5">
        <v>1.2500000000000001E-2</v>
      </c>
      <c r="C27" s="4" t="s">
        <v>96</v>
      </c>
      <c r="F27" s="8" t="s">
        <v>23</v>
      </c>
      <c r="G27" s="9">
        <f>1/B27</f>
        <v>80</v>
      </c>
      <c r="H27" s="9" t="s">
        <v>98</v>
      </c>
    </row>
    <row r="28" spans="1:8" x14ac:dyDescent="0.35">
      <c r="F28" s="8" t="s">
        <v>24</v>
      </c>
      <c r="G28" s="10">
        <f>B26/B27</f>
        <v>0.79999999999999993</v>
      </c>
      <c r="H28" s="9" t="s">
        <v>153</v>
      </c>
    </row>
    <row r="29" spans="1:8" x14ac:dyDescent="0.35">
      <c r="A29" t="s">
        <v>5</v>
      </c>
      <c r="B29" s="5">
        <v>20</v>
      </c>
      <c r="C29" s="4" t="s">
        <v>99</v>
      </c>
    </row>
    <row r="30" spans="1:8" x14ac:dyDescent="0.35">
      <c r="A30" t="s">
        <v>87</v>
      </c>
      <c r="B30" s="6">
        <f>1-B26/B27*EXP((B26-B27)*B29)</f>
        <v>0.23901646039942881</v>
      </c>
      <c r="C30" s="4" t="s">
        <v>100</v>
      </c>
    </row>
    <row r="33" spans="1:8" ht="17" x14ac:dyDescent="0.4">
      <c r="A33" s="26" t="s">
        <v>101</v>
      </c>
      <c r="B33" s="26"/>
      <c r="C33" s="26"/>
      <c r="D33" s="26"/>
      <c r="E33" s="26"/>
      <c r="F33" s="26"/>
      <c r="G33" s="26"/>
      <c r="H33" s="26"/>
    </row>
    <row r="35" spans="1:8" x14ac:dyDescent="0.35">
      <c r="A35" s="3" t="s">
        <v>0</v>
      </c>
    </row>
    <row r="36" spans="1:8" x14ac:dyDescent="0.35">
      <c r="A36" t="s">
        <v>102</v>
      </c>
    </row>
    <row r="37" spans="1:8" x14ac:dyDescent="0.35">
      <c r="A37" t="s">
        <v>129</v>
      </c>
    </row>
    <row r="39" spans="1:8" x14ac:dyDescent="0.35">
      <c r="A39" t="s">
        <v>0</v>
      </c>
      <c r="B39" s="5">
        <v>0.8</v>
      </c>
      <c r="C39" s="4" t="s">
        <v>88</v>
      </c>
      <c r="F39" s="8" t="s">
        <v>24</v>
      </c>
      <c r="G39" s="10">
        <f>B39</f>
        <v>0.8</v>
      </c>
      <c r="H39" s="9" t="s">
        <v>153</v>
      </c>
    </row>
    <row r="40" spans="1:8" x14ac:dyDescent="0.35">
      <c r="A40" t="s">
        <v>87</v>
      </c>
      <c r="B40" s="6">
        <f>B39</f>
        <v>0.8</v>
      </c>
      <c r="C40" s="4" t="s">
        <v>123</v>
      </c>
    </row>
    <row r="43" spans="1:8" ht="20" x14ac:dyDescent="0.55000000000000004">
      <c r="A43" s="26" t="s">
        <v>106</v>
      </c>
      <c r="B43" s="26"/>
      <c r="C43" s="26"/>
      <c r="D43" s="26"/>
      <c r="E43" s="26"/>
      <c r="F43" s="26"/>
      <c r="G43" s="26"/>
      <c r="H43" s="26"/>
    </row>
    <row r="45" spans="1:8" x14ac:dyDescent="0.35">
      <c r="A45" s="3" t="s">
        <v>50</v>
      </c>
    </row>
    <row r="46" spans="1:8" x14ac:dyDescent="0.35">
      <c r="A46" t="s">
        <v>105</v>
      </c>
    </row>
    <row r="47" spans="1:8" x14ac:dyDescent="0.35">
      <c r="A47" t="s">
        <v>129</v>
      </c>
    </row>
    <row r="49" spans="1:8" x14ac:dyDescent="0.35">
      <c r="A49" t="s">
        <v>0</v>
      </c>
      <c r="B49" s="5">
        <v>0.8</v>
      </c>
      <c r="C49" s="4" t="s">
        <v>88</v>
      </c>
      <c r="F49" s="8" t="s">
        <v>24</v>
      </c>
      <c r="G49" s="10">
        <f>B49</f>
        <v>0.8</v>
      </c>
      <c r="H49" s="9" t="s">
        <v>153</v>
      </c>
    </row>
    <row r="50" spans="1:8" x14ac:dyDescent="0.35">
      <c r="A50" t="s">
        <v>87</v>
      </c>
      <c r="B50" s="12">
        <f>B49^2/(1-B49)</f>
        <v>3.2000000000000015</v>
      </c>
      <c r="C50" s="4" t="s">
        <v>124</v>
      </c>
    </row>
    <row r="53" spans="1:8" ht="17" x14ac:dyDescent="0.4">
      <c r="A53" s="26" t="s">
        <v>107</v>
      </c>
      <c r="B53" s="26"/>
      <c r="C53" s="26"/>
      <c r="D53" s="26"/>
      <c r="E53" s="26"/>
      <c r="F53" s="26"/>
      <c r="G53" s="26"/>
      <c r="H53" s="26"/>
    </row>
    <row r="55" spans="1:8" x14ac:dyDescent="0.35">
      <c r="A55" s="3" t="s">
        <v>52</v>
      </c>
    </row>
    <row r="56" spans="1:8" x14ac:dyDescent="0.35">
      <c r="A56" t="s">
        <v>113</v>
      </c>
    </row>
    <row r="57" spans="1:8" x14ac:dyDescent="0.35">
      <c r="A57" t="s">
        <v>129</v>
      </c>
    </row>
    <row r="59" spans="1:8" x14ac:dyDescent="0.35">
      <c r="A59" t="s">
        <v>0</v>
      </c>
      <c r="B59" s="5">
        <v>0.8</v>
      </c>
      <c r="C59" s="4" t="s">
        <v>88</v>
      </c>
      <c r="F59" s="8" t="s">
        <v>24</v>
      </c>
      <c r="G59" s="10">
        <f>B59</f>
        <v>0.8</v>
      </c>
      <c r="H59" s="9" t="s">
        <v>153</v>
      </c>
    </row>
    <row r="60" spans="1:8" x14ac:dyDescent="0.35">
      <c r="A60" t="s">
        <v>87</v>
      </c>
      <c r="B60" s="12">
        <f>B59/(1-B59)</f>
        <v>4.0000000000000009</v>
      </c>
      <c r="C60" s="4" t="s">
        <v>125</v>
      </c>
    </row>
    <row r="63" spans="1:8" ht="17" x14ac:dyDescent="0.4">
      <c r="A63" s="26" t="s">
        <v>108</v>
      </c>
      <c r="B63" s="26"/>
      <c r="C63" s="26"/>
      <c r="D63" s="26"/>
      <c r="E63" s="26"/>
      <c r="F63" s="26"/>
      <c r="G63" s="26"/>
      <c r="H63" s="26"/>
    </row>
    <row r="65" spans="1:8" x14ac:dyDescent="0.35">
      <c r="A65" s="3" t="s">
        <v>53</v>
      </c>
    </row>
    <row r="66" spans="1:8" x14ac:dyDescent="0.35">
      <c r="A66" t="s">
        <v>114</v>
      </c>
    </row>
    <row r="67" spans="1:8" x14ac:dyDescent="0.35">
      <c r="A67" t="s">
        <v>130</v>
      </c>
    </row>
    <row r="69" spans="1:8" x14ac:dyDescent="0.35">
      <c r="A69" t="s">
        <v>3</v>
      </c>
      <c r="B69" s="5">
        <v>0.01</v>
      </c>
      <c r="C69" s="4" t="s">
        <v>95</v>
      </c>
      <c r="F69" s="8" t="s">
        <v>22</v>
      </c>
      <c r="G69" s="9">
        <f>1/B69</f>
        <v>100</v>
      </c>
      <c r="H69" s="9" t="s">
        <v>97</v>
      </c>
    </row>
    <row r="70" spans="1:8" x14ac:dyDescent="0.35">
      <c r="A70" t="s">
        <v>4</v>
      </c>
      <c r="B70" s="5">
        <v>1.2500000000000001E-2</v>
      </c>
      <c r="C70" s="4" t="s">
        <v>96</v>
      </c>
      <c r="F70" s="8" t="s">
        <v>23</v>
      </c>
      <c r="G70" s="9">
        <f>1/B70</f>
        <v>80</v>
      </c>
      <c r="H70" s="9" t="s">
        <v>98</v>
      </c>
    </row>
    <row r="71" spans="1:8" x14ac:dyDescent="0.35">
      <c r="F71" s="8" t="s">
        <v>24</v>
      </c>
      <c r="G71" s="10">
        <f>B69/B70</f>
        <v>0.79999999999999993</v>
      </c>
      <c r="H71" s="9" t="s">
        <v>153</v>
      </c>
    </row>
    <row r="72" spans="1:8" x14ac:dyDescent="0.35">
      <c r="A72" t="s">
        <v>87</v>
      </c>
      <c r="B72" s="11">
        <f>B69/B70/(B70-B69)</f>
        <v>319.99999999999989</v>
      </c>
      <c r="C72" s="4" t="s">
        <v>126</v>
      </c>
    </row>
    <row r="75" spans="1:8" ht="17" x14ac:dyDescent="0.4">
      <c r="A75" s="26" t="s">
        <v>109</v>
      </c>
      <c r="B75" s="26"/>
      <c r="C75" s="26"/>
      <c r="D75" s="26"/>
      <c r="E75" s="26"/>
      <c r="F75" s="26"/>
      <c r="G75" s="26"/>
      <c r="H75" s="26"/>
    </row>
    <row r="77" spans="1:8" x14ac:dyDescent="0.35">
      <c r="A77" s="3" t="s">
        <v>54</v>
      </c>
    </row>
    <row r="78" spans="1:8" x14ac:dyDescent="0.35">
      <c r="A78" t="s">
        <v>115</v>
      </c>
    </row>
    <row r="79" spans="1:8" x14ac:dyDescent="0.35">
      <c r="A79" t="s">
        <v>130</v>
      </c>
    </row>
    <row r="81" spans="1:8" x14ac:dyDescent="0.35">
      <c r="A81" t="s">
        <v>3</v>
      </c>
      <c r="B81" s="5">
        <v>0.01</v>
      </c>
      <c r="C81" s="4" t="s">
        <v>95</v>
      </c>
      <c r="F81" s="8" t="s">
        <v>22</v>
      </c>
      <c r="G81" s="9">
        <f>1/B81</f>
        <v>100</v>
      </c>
      <c r="H81" s="9" t="s">
        <v>97</v>
      </c>
    </row>
    <row r="82" spans="1:8" x14ac:dyDescent="0.35">
      <c r="A82" t="s">
        <v>4</v>
      </c>
      <c r="B82" s="5">
        <v>1.2500000000000001E-2</v>
      </c>
      <c r="C82" s="4" t="s">
        <v>96</v>
      </c>
      <c r="F82" s="8" t="s">
        <v>23</v>
      </c>
      <c r="G82" s="9">
        <f>1/B82</f>
        <v>80</v>
      </c>
      <c r="H82" s="9" t="s">
        <v>98</v>
      </c>
    </row>
    <row r="83" spans="1:8" x14ac:dyDescent="0.35">
      <c r="F83" s="8" t="s">
        <v>24</v>
      </c>
      <c r="G83" s="10">
        <f>B81/B82</f>
        <v>0.79999999999999993</v>
      </c>
      <c r="H83" s="9" t="s">
        <v>153</v>
      </c>
    </row>
    <row r="84" spans="1:8" x14ac:dyDescent="0.35">
      <c r="A84" t="s">
        <v>87</v>
      </c>
      <c r="B84" s="11">
        <f>1/(B82-B81)</f>
        <v>399.99999999999994</v>
      </c>
      <c r="C84" s="4" t="s">
        <v>127</v>
      </c>
    </row>
  </sheetData>
  <mergeCells count="8">
    <mergeCell ref="A63:H63"/>
    <mergeCell ref="A75:H75"/>
    <mergeCell ref="A1:H1"/>
    <mergeCell ref="A9:H9"/>
    <mergeCell ref="A20:H20"/>
    <mergeCell ref="A33:H33"/>
    <mergeCell ref="A43:H43"/>
    <mergeCell ref="A53:H53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84"/>
  <sheetViews>
    <sheetView workbookViewId="0">
      <selection sqref="A1:H1"/>
    </sheetView>
  </sheetViews>
  <sheetFormatPr baseColWidth="10" defaultRowHeight="14.5" x14ac:dyDescent="0.35"/>
  <cols>
    <col min="1" max="1" width="8.453125" customWidth="1"/>
    <col min="2" max="2" width="7" customWidth="1"/>
    <col min="5" max="5" width="5.54296875" customWidth="1"/>
    <col min="6" max="6" width="7" customWidth="1"/>
    <col min="7" max="7" width="4.54296875" customWidth="1"/>
    <col min="8" max="8" width="29.81640625" customWidth="1"/>
  </cols>
  <sheetData>
    <row r="1" spans="1:8" ht="21" x14ac:dyDescent="0.5">
      <c r="A1" s="27" t="s">
        <v>46</v>
      </c>
      <c r="B1" s="27"/>
      <c r="C1" s="27"/>
      <c r="D1" s="27"/>
      <c r="E1" s="27"/>
      <c r="F1" s="27"/>
      <c r="G1" s="27"/>
      <c r="H1" s="27"/>
    </row>
    <row r="3" spans="1:8" x14ac:dyDescent="0.35">
      <c r="A3" t="s">
        <v>33</v>
      </c>
    </row>
    <row r="4" spans="1:8" x14ac:dyDescent="0.35">
      <c r="A4" t="s">
        <v>34</v>
      </c>
    </row>
    <row r="5" spans="1:8" x14ac:dyDescent="0.35">
      <c r="A5" s="7" t="s">
        <v>82</v>
      </c>
    </row>
    <row r="6" spans="1:8" x14ac:dyDescent="0.35">
      <c r="A6" t="s">
        <v>35</v>
      </c>
    </row>
    <row r="9" spans="1:8" ht="20" x14ac:dyDescent="0.55000000000000004">
      <c r="A9" s="26" t="s">
        <v>12</v>
      </c>
      <c r="B9" s="26"/>
      <c r="C9" s="26"/>
      <c r="D9" s="26"/>
      <c r="E9" s="26"/>
      <c r="F9" s="26"/>
      <c r="G9" s="26"/>
      <c r="H9" s="26"/>
    </row>
    <row r="10" spans="1:8" x14ac:dyDescent="0.35">
      <c r="A10" s="2"/>
    </row>
    <row r="11" spans="1:8" x14ac:dyDescent="0.35">
      <c r="A11" s="3" t="s">
        <v>47</v>
      </c>
    </row>
    <row r="12" spans="1:8" x14ac:dyDescent="0.35">
      <c r="A12" t="s">
        <v>86</v>
      </c>
    </row>
    <row r="13" spans="1:8" x14ac:dyDescent="0.35">
      <c r="A13" t="s">
        <v>51</v>
      </c>
    </row>
    <row r="15" spans="1:8" x14ac:dyDescent="0.35">
      <c r="A15" t="s">
        <v>0</v>
      </c>
      <c r="B15" s="5">
        <v>0.8</v>
      </c>
      <c r="C15" s="4" t="s">
        <v>16</v>
      </c>
      <c r="F15" s="8" t="s">
        <v>24</v>
      </c>
      <c r="G15" s="10">
        <f>B15</f>
        <v>0.8</v>
      </c>
      <c r="H15" s="9" t="s">
        <v>25</v>
      </c>
    </row>
    <row r="16" spans="1:8" x14ac:dyDescent="0.35">
      <c r="A16" t="s">
        <v>2</v>
      </c>
      <c r="B16" s="5">
        <v>3</v>
      </c>
      <c r="C16" s="4" t="s">
        <v>15</v>
      </c>
    </row>
    <row r="17" spans="1:8" x14ac:dyDescent="0.35">
      <c r="A17" t="s">
        <v>18</v>
      </c>
      <c r="B17" s="6">
        <f>B15^B16*(1-B15)</f>
        <v>0.1024</v>
      </c>
      <c r="C17" s="4" t="s">
        <v>17</v>
      </c>
    </row>
    <row r="18" spans="1:8" x14ac:dyDescent="0.35">
      <c r="B18" s="1"/>
      <c r="C18" s="4"/>
    </row>
    <row r="20" spans="1:8" ht="17" x14ac:dyDescent="0.4">
      <c r="A20" s="26" t="s">
        <v>48</v>
      </c>
      <c r="B20" s="26"/>
      <c r="C20" s="26"/>
      <c r="D20" s="26"/>
      <c r="E20" s="26"/>
      <c r="F20" s="26"/>
      <c r="G20" s="26"/>
      <c r="H20" s="26"/>
    </row>
    <row r="22" spans="1:8" x14ac:dyDescent="0.35">
      <c r="A22" s="3" t="s">
        <v>49</v>
      </c>
    </row>
    <row r="23" spans="1:8" x14ac:dyDescent="0.35">
      <c r="A23" t="s">
        <v>93</v>
      </c>
    </row>
    <row r="24" spans="1:8" x14ac:dyDescent="0.35">
      <c r="A24" t="s">
        <v>55</v>
      </c>
    </row>
    <row r="26" spans="1:8" x14ac:dyDescent="0.35">
      <c r="A26" t="s">
        <v>3</v>
      </c>
      <c r="B26" s="5">
        <v>0.01</v>
      </c>
      <c r="C26" s="4" t="s">
        <v>19</v>
      </c>
      <c r="F26" s="8" t="s">
        <v>22</v>
      </c>
      <c r="G26" s="9">
        <f>1/B26</f>
        <v>100</v>
      </c>
      <c r="H26" s="9" t="s">
        <v>26</v>
      </c>
    </row>
    <row r="27" spans="1:8" x14ac:dyDescent="0.35">
      <c r="A27" t="s">
        <v>4</v>
      </c>
      <c r="B27" s="5">
        <v>1.2500000000000001E-2</v>
      </c>
      <c r="C27" s="4" t="s">
        <v>20</v>
      </c>
      <c r="F27" s="8" t="s">
        <v>23</v>
      </c>
      <c r="G27" s="9">
        <f>1/B27</f>
        <v>80</v>
      </c>
      <c r="H27" s="9" t="s">
        <v>27</v>
      </c>
    </row>
    <row r="28" spans="1:8" x14ac:dyDescent="0.35">
      <c r="F28" s="8" t="s">
        <v>24</v>
      </c>
      <c r="G28" s="10">
        <f>B26/B27</f>
        <v>0.79999999999999993</v>
      </c>
      <c r="H28" s="9" t="s">
        <v>25</v>
      </c>
    </row>
    <row r="29" spans="1:8" x14ac:dyDescent="0.35">
      <c r="A29" t="s">
        <v>5</v>
      </c>
      <c r="B29" s="5">
        <v>20</v>
      </c>
      <c r="C29" s="4" t="s">
        <v>42</v>
      </c>
    </row>
    <row r="30" spans="1:8" x14ac:dyDescent="0.35">
      <c r="A30" t="s">
        <v>18</v>
      </c>
      <c r="B30" s="6">
        <f>1-B26/B27*EXP((B26-B27)*B29)</f>
        <v>0.23901646039942881</v>
      </c>
      <c r="C30" s="4" t="s">
        <v>21</v>
      </c>
    </row>
    <row r="33" spans="1:8" ht="17" x14ac:dyDescent="0.4">
      <c r="A33" s="26" t="s">
        <v>11</v>
      </c>
      <c r="B33" s="26"/>
      <c r="C33" s="26"/>
      <c r="D33" s="26"/>
      <c r="E33" s="26"/>
      <c r="F33" s="26"/>
      <c r="G33" s="26"/>
      <c r="H33" s="26"/>
    </row>
    <row r="35" spans="1:8" x14ac:dyDescent="0.35">
      <c r="A35" s="3" t="s">
        <v>0</v>
      </c>
    </row>
    <row r="36" spans="1:8" x14ac:dyDescent="0.35">
      <c r="A36" t="s">
        <v>103</v>
      </c>
    </row>
    <row r="37" spans="1:8" x14ac:dyDescent="0.35">
      <c r="A37" t="s">
        <v>51</v>
      </c>
    </row>
    <row r="39" spans="1:8" x14ac:dyDescent="0.35">
      <c r="A39" t="s">
        <v>0</v>
      </c>
      <c r="B39" s="5">
        <v>0.8</v>
      </c>
      <c r="C39" s="4" t="s">
        <v>16</v>
      </c>
      <c r="F39" s="8" t="s">
        <v>24</v>
      </c>
      <c r="G39" s="10">
        <f>B39</f>
        <v>0.8</v>
      </c>
      <c r="H39" s="9" t="s">
        <v>25</v>
      </c>
    </row>
    <row r="40" spans="1:8" x14ac:dyDescent="0.35">
      <c r="A40" t="s">
        <v>18</v>
      </c>
      <c r="B40" s="6">
        <f>B39</f>
        <v>0.8</v>
      </c>
      <c r="C40" s="4" t="s">
        <v>38</v>
      </c>
    </row>
    <row r="43" spans="1:8" ht="20" x14ac:dyDescent="0.55000000000000004">
      <c r="A43" s="26" t="s">
        <v>29</v>
      </c>
      <c r="B43" s="26"/>
      <c r="C43" s="26"/>
      <c r="D43" s="26"/>
      <c r="E43" s="26"/>
      <c r="F43" s="26"/>
      <c r="G43" s="26"/>
      <c r="H43" s="26"/>
    </row>
    <row r="45" spans="1:8" x14ac:dyDescent="0.35">
      <c r="A45" s="3" t="s">
        <v>50</v>
      </c>
    </row>
    <row r="46" spans="1:8" x14ac:dyDescent="0.35">
      <c r="A46" t="s">
        <v>104</v>
      </c>
    </row>
    <row r="47" spans="1:8" x14ac:dyDescent="0.35">
      <c r="A47" t="s">
        <v>51</v>
      </c>
    </row>
    <row r="49" spans="1:8" x14ac:dyDescent="0.35">
      <c r="A49" t="s">
        <v>0</v>
      </c>
      <c r="B49" s="5">
        <v>0.8</v>
      </c>
      <c r="C49" s="4" t="s">
        <v>16</v>
      </c>
      <c r="F49" s="8" t="s">
        <v>24</v>
      </c>
      <c r="G49" s="10">
        <f>B49</f>
        <v>0.8</v>
      </c>
      <c r="H49" s="9" t="s">
        <v>25</v>
      </c>
    </row>
    <row r="50" spans="1:8" x14ac:dyDescent="0.35">
      <c r="A50" t="s">
        <v>18</v>
      </c>
      <c r="B50" s="12">
        <f>B49^2/(1-B49)</f>
        <v>3.2000000000000015</v>
      </c>
      <c r="C50" s="4" t="s">
        <v>39</v>
      </c>
    </row>
    <row r="53" spans="1:8" ht="17" x14ac:dyDescent="0.4">
      <c r="A53" s="26" t="s">
        <v>30</v>
      </c>
      <c r="B53" s="26"/>
      <c r="C53" s="26"/>
      <c r="D53" s="26"/>
      <c r="E53" s="26"/>
      <c r="F53" s="26"/>
      <c r="G53" s="26"/>
      <c r="H53" s="26"/>
    </row>
    <row r="55" spans="1:8" x14ac:dyDescent="0.35">
      <c r="A55" s="3" t="s">
        <v>52</v>
      </c>
    </row>
    <row r="56" spans="1:8" x14ac:dyDescent="0.35">
      <c r="A56" t="s">
        <v>110</v>
      </c>
    </row>
    <row r="57" spans="1:8" x14ac:dyDescent="0.35">
      <c r="A57" t="s">
        <v>51</v>
      </c>
    </row>
    <row r="59" spans="1:8" x14ac:dyDescent="0.35">
      <c r="A59" t="s">
        <v>0</v>
      </c>
      <c r="B59" s="5">
        <v>0.8</v>
      </c>
      <c r="C59" s="4" t="s">
        <v>16</v>
      </c>
      <c r="F59" s="8" t="s">
        <v>24</v>
      </c>
      <c r="G59" s="10">
        <f>B59</f>
        <v>0.8</v>
      </c>
      <c r="H59" s="9" t="s">
        <v>25</v>
      </c>
    </row>
    <row r="60" spans="1:8" x14ac:dyDescent="0.35">
      <c r="A60" t="s">
        <v>18</v>
      </c>
      <c r="B60" s="12">
        <f>B59/(1-B59)</f>
        <v>4.0000000000000009</v>
      </c>
      <c r="C60" s="4" t="s">
        <v>40</v>
      </c>
    </row>
    <row r="63" spans="1:8" ht="17" x14ac:dyDescent="0.4">
      <c r="A63" s="26" t="s">
        <v>32</v>
      </c>
      <c r="B63" s="26"/>
      <c r="C63" s="26"/>
      <c r="D63" s="26"/>
      <c r="E63" s="26"/>
      <c r="F63" s="26"/>
      <c r="G63" s="26"/>
      <c r="H63" s="26"/>
    </row>
    <row r="65" spans="1:8" x14ac:dyDescent="0.35">
      <c r="A65" s="3" t="s">
        <v>53</v>
      </c>
    </row>
    <row r="66" spans="1:8" x14ac:dyDescent="0.35">
      <c r="A66" t="s">
        <v>111</v>
      </c>
    </row>
    <row r="67" spans="1:8" x14ac:dyDescent="0.35">
      <c r="A67" t="s">
        <v>55</v>
      </c>
    </row>
    <row r="69" spans="1:8" x14ac:dyDescent="0.35">
      <c r="A69" t="s">
        <v>3</v>
      </c>
      <c r="B69" s="5">
        <v>0.01</v>
      </c>
      <c r="C69" s="4" t="s">
        <v>19</v>
      </c>
      <c r="F69" s="8" t="s">
        <v>22</v>
      </c>
      <c r="G69" s="9">
        <f>1/B69</f>
        <v>100</v>
      </c>
      <c r="H69" s="9" t="s">
        <v>26</v>
      </c>
    </row>
    <row r="70" spans="1:8" x14ac:dyDescent="0.35">
      <c r="A70" t="s">
        <v>4</v>
      </c>
      <c r="B70" s="5">
        <v>1.2500000000000001E-2</v>
      </c>
      <c r="C70" s="4" t="s">
        <v>20</v>
      </c>
      <c r="F70" s="8" t="s">
        <v>23</v>
      </c>
      <c r="G70" s="9">
        <f>1/B70</f>
        <v>80</v>
      </c>
      <c r="H70" s="9" t="s">
        <v>27</v>
      </c>
    </row>
    <row r="71" spans="1:8" x14ac:dyDescent="0.35">
      <c r="F71" s="8" t="s">
        <v>24</v>
      </c>
      <c r="G71" s="10">
        <f>B69/B70</f>
        <v>0.79999999999999993</v>
      </c>
      <c r="H71" s="9" t="s">
        <v>25</v>
      </c>
    </row>
    <row r="72" spans="1:8" x14ac:dyDescent="0.35">
      <c r="A72" t="s">
        <v>18</v>
      </c>
      <c r="B72" s="11">
        <f>B69/B70/(B70-B69)</f>
        <v>319.99999999999989</v>
      </c>
      <c r="C72" s="4" t="s">
        <v>41</v>
      </c>
    </row>
    <row r="75" spans="1:8" ht="17" x14ac:dyDescent="0.4">
      <c r="A75" s="26" t="s">
        <v>43</v>
      </c>
      <c r="B75" s="26"/>
      <c r="C75" s="26"/>
      <c r="D75" s="26"/>
      <c r="E75" s="26"/>
      <c r="F75" s="26"/>
      <c r="G75" s="26"/>
      <c r="H75" s="26"/>
    </row>
    <row r="77" spans="1:8" x14ac:dyDescent="0.35">
      <c r="A77" s="3" t="s">
        <v>54</v>
      </c>
    </row>
    <row r="78" spans="1:8" x14ac:dyDescent="0.35">
      <c r="A78" t="s">
        <v>112</v>
      </c>
    </row>
    <row r="79" spans="1:8" x14ac:dyDescent="0.35">
      <c r="A79" t="s">
        <v>55</v>
      </c>
    </row>
    <row r="81" spans="1:8" x14ac:dyDescent="0.35">
      <c r="A81" t="s">
        <v>3</v>
      </c>
      <c r="B81" s="5">
        <v>0.01</v>
      </c>
      <c r="C81" s="4" t="s">
        <v>19</v>
      </c>
      <c r="F81" s="8" t="s">
        <v>22</v>
      </c>
      <c r="G81" s="9">
        <f>1/B81</f>
        <v>100</v>
      </c>
      <c r="H81" s="9" t="s">
        <v>26</v>
      </c>
    </row>
    <row r="82" spans="1:8" x14ac:dyDescent="0.35">
      <c r="A82" t="s">
        <v>4</v>
      </c>
      <c r="B82" s="5">
        <v>1.2500000000000001E-2</v>
      </c>
      <c r="C82" s="4" t="s">
        <v>20</v>
      </c>
      <c r="F82" s="8" t="s">
        <v>23</v>
      </c>
      <c r="G82" s="9">
        <f>1/B82</f>
        <v>80</v>
      </c>
      <c r="H82" s="9" t="s">
        <v>27</v>
      </c>
    </row>
    <row r="83" spans="1:8" x14ac:dyDescent="0.35">
      <c r="F83" s="8" t="s">
        <v>24</v>
      </c>
      <c r="G83" s="10">
        <f>B81/B82</f>
        <v>0.79999999999999993</v>
      </c>
      <c r="H83" s="9" t="s">
        <v>25</v>
      </c>
    </row>
    <row r="84" spans="1:8" x14ac:dyDescent="0.35">
      <c r="A84" t="s">
        <v>18</v>
      </c>
      <c r="B84" s="11">
        <f>1/(B82-B81)</f>
        <v>399.99999999999994</v>
      </c>
      <c r="C84" s="4" t="s">
        <v>45</v>
      </c>
    </row>
  </sheetData>
  <mergeCells count="8">
    <mergeCell ref="A63:H63"/>
    <mergeCell ref="A75:H75"/>
    <mergeCell ref="A1:H1"/>
    <mergeCell ref="A9:H9"/>
    <mergeCell ref="A20:H20"/>
    <mergeCell ref="A33:H33"/>
    <mergeCell ref="A43:H43"/>
    <mergeCell ref="A53:H5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93073-A003-4EE1-B260-41ED99A6BFC1}">
  <sheetPr codeName="Tabelle13"/>
  <dimension ref="A1:H92"/>
  <sheetViews>
    <sheetView workbookViewId="0">
      <selection sqref="A1:H1"/>
    </sheetView>
  </sheetViews>
  <sheetFormatPr baseColWidth="10" defaultRowHeight="14.5" x14ac:dyDescent="0.35"/>
  <cols>
    <col min="1" max="1" width="8.453125" customWidth="1"/>
    <col min="2" max="2" width="7" customWidth="1"/>
    <col min="5" max="5" width="5.54296875" customWidth="1"/>
    <col min="6" max="6" width="7" customWidth="1"/>
    <col min="7" max="7" width="4.54296875" customWidth="1"/>
    <col min="8" max="8" width="29.81640625" customWidth="1"/>
  </cols>
  <sheetData>
    <row r="1" spans="1:8" ht="21" x14ac:dyDescent="0.5">
      <c r="A1" s="27" t="s">
        <v>157</v>
      </c>
      <c r="B1" s="27"/>
      <c r="C1" s="27"/>
      <c r="D1" s="27"/>
      <c r="E1" s="27"/>
      <c r="F1" s="27"/>
      <c r="G1" s="27"/>
      <c r="H1" s="27"/>
    </row>
    <row r="3" spans="1:8" x14ac:dyDescent="0.35">
      <c r="A3" t="s">
        <v>80</v>
      </c>
    </row>
    <row r="4" spans="1:8" x14ac:dyDescent="0.35">
      <c r="A4" t="s">
        <v>81</v>
      </c>
    </row>
    <row r="5" spans="1:8" x14ac:dyDescent="0.35">
      <c r="A5" s="7" t="s">
        <v>117</v>
      </c>
    </row>
    <row r="6" spans="1:8" x14ac:dyDescent="0.35">
      <c r="A6" t="s">
        <v>84</v>
      </c>
    </row>
    <row r="9" spans="1:8" ht="20" x14ac:dyDescent="0.55000000000000004">
      <c r="A9" s="26" t="s">
        <v>85</v>
      </c>
      <c r="B9" s="26"/>
      <c r="C9" s="26"/>
      <c r="D9" s="26"/>
      <c r="E9" s="26"/>
      <c r="F9" s="26"/>
      <c r="G9" s="26"/>
      <c r="H9" s="26"/>
    </row>
    <row r="10" spans="1:8" x14ac:dyDescent="0.35">
      <c r="A10" s="2"/>
    </row>
    <row r="11" spans="1:8" x14ac:dyDescent="0.35">
      <c r="A11" s="3" t="s">
        <v>8</v>
      </c>
    </row>
    <row r="12" spans="1:8" x14ac:dyDescent="0.35">
      <c r="A12" t="s">
        <v>121</v>
      </c>
    </row>
    <row r="13" spans="1:8" x14ac:dyDescent="0.35">
      <c r="A13" t="s">
        <v>131</v>
      </c>
    </row>
    <row r="15" spans="1:8" x14ac:dyDescent="0.35">
      <c r="A15" t="s">
        <v>0</v>
      </c>
      <c r="B15" s="5">
        <v>7</v>
      </c>
      <c r="C15" s="4" t="s">
        <v>88</v>
      </c>
    </row>
    <row r="16" spans="1:8" x14ac:dyDescent="0.35">
      <c r="A16" t="s">
        <v>1</v>
      </c>
      <c r="B16" s="5">
        <v>9</v>
      </c>
      <c r="C16" s="4" t="s">
        <v>128</v>
      </c>
      <c r="F16" s="8" t="s">
        <v>24</v>
      </c>
      <c r="G16" s="10">
        <f>B15/B16</f>
        <v>0.77777777777777779</v>
      </c>
      <c r="H16" s="9" t="s">
        <v>153</v>
      </c>
    </row>
    <row r="17" spans="1:8" x14ac:dyDescent="0.35">
      <c r="A17" t="s">
        <v>2</v>
      </c>
      <c r="B17" s="5">
        <v>3</v>
      </c>
      <c r="C17" s="4" t="s">
        <v>89</v>
      </c>
    </row>
    <row r="18" spans="1:8" x14ac:dyDescent="0.35">
      <c r="A18" t="s">
        <v>87</v>
      </c>
      <c r="B18" s="6">
        <f>MMcZustandsP(B15,B16,B17)</f>
        <v>4.3975630438567039E-2</v>
      </c>
      <c r="C18" s="4" t="s">
        <v>90</v>
      </c>
    </row>
    <row r="19" spans="1:8" x14ac:dyDescent="0.35">
      <c r="B19" s="1"/>
      <c r="C19" s="4"/>
    </row>
    <row r="21" spans="1:8" ht="17" x14ac:dyDescent="0.4">
      <c r="A21" s="26" t="s">
        <v>119</v>
      </c>
      <c r="B21" s="26"/>
      <c r="C21" s="26"/>
      <c r="D21" s="26"/>
      <c r="E21" s="26"/>
      <c r="F21" s="26"/>
      <c r="G21" s="26"/>
      <c r="H21" s="26"/>
    </row>
    <row r="23" spans="1:8" x14ac:dyDescent="0.35">
      <c r="A23" s="3" t="s">
        <v>9</v>
      </c>
    </row>
    <row r="24" spans="1:8" x14ac:dyDescent="0.35">
      <c r="A24" t="s">
        <v>122</v>
      </c>
    </row>
    <row r="25" spans="1:8" x14ac:dyDescent="0.35">
      <c r="A25" t="s">
        <v>132</v>
      </c>
    </row>
    <row r="27" spans="1:8" x14ac:dyDescent="0.35">
      <c r="A27" t="s">
        <v>3</v>
      </c>
      <c r="B27" s="5">
        <f>1/10</f>
        <v>0.1</v>
      </c>
      <c r="C27" s="4" t="s">
        <v>95</v>
      </c>
      <c r="F27" s="8" t="s">
        <v>22</v>
      </c>
      <c r="G27" s="9">
        <f>1/B27</f>
        <v>10</v>
      </c>
      <c r="H27" s="9" t="s">
        <v>97</v>
      </c>
    </row>
    <row r="28" spans="1:8" x14ac:dyDescent="0.35">
      <c r="A28" t="s">
        <v>4</v>
      </c>
      <c r="B28" s="5">
        <f>1/300</f>
        <v>3.3333333333333335E-3</v>
      </c>
      <c r="C28" s="4" t="s">
        <v>96</v>
      </c>
      <c r="F28" s="8" t="s">
        <v>23</v>
      </c>
      <c r="G28" s="9">
        <f>1/B28</f>
        <v>300</v>
      </c>
      <c r="H28" s="9" t="s">
        <v>98</v>
      </c>
    </row>
    <row r="29" spans="1:8" x14ac:dyDescent="0.35">
      <c r="A29" t="s">
        <v>1</v>
      </c>
      <c r="B29" s="5">
        <v>35</v>
      </c>
      <c r="C29" s="4" t="s">
        <v>128</v>
      </c>
      <c r="F29" s="8" t="s">
        <v>24</v>
      </c>
      <c r="G29" s="10">
        <f>B27/B28/B29</f>
        <v>0.8571428571428571</v>
      </c>
      <c r="H29" s="9" t="s">
        <v>153</v>
      </c>
    </row>
    <row r="30" spans="1:8" x14ac:dyDescent="0.35">
      <c r="A30" t="s">
        <v>5</v>
      </c>
      <c r="B30" s="5">
        <v>20</v>
      </c>
      <c r="C30" s="4" t="s">
        <v>99</v>
      </c>
    </row>
    <row r="31" spans="1:8" x14ac:dyDescent="0.35">
      <c r="A31" t="s">
        <v>87</v>
      </c>
      <c r="B31" s="6">
        <f>ErlangC(1/10,1/300,35,20)</f>
        <v>0.79608775524053343</v>
      </c>
      <c r="C31" s="4" t="s">
        <v>100</v>
      </c>
    </row>
    <row r="34" spans="1:8" ht="17" x14ac:dyDescent="0.4">
      <c r="A34" s="26" t="s">
        <v>101</v>
      </c>
      <c r="B34" s="26"/>
      <c r="C34" s="26"/>
      <c r="D34" s="26"/>
      <c r="E34" s="26"/>
      <c r="F34" s="26"/>
      <c r="G34" s="26"/>
      <c r="H34" s="26"/>
    </row>
    <row r="36" spans="1:8" x14ac:dyDescent="0.35">
      <c r="A36" s="3" t="s">
        <v>10</v>
      </c>
    </row>
    <row r="37" spans="1:8" x14ac:dyDescent="0.35">
      <c r="A37" t="s">
        <v>102</v>
      </c>
    </row>
    <row r="38" spans="1:8" x14ac:dyDescent="0.35">
      <c r="A38" t="s">
        <v>131</v>
      </c>
    </row>
    <row r="40" spans="1:8" x14ac:dyDescent="0.35">
      <c r="A40" t="s">
        <v>0</v>
      </c>
      <c r="B40" s="5">
        <v>7</v>
      </c>
      <c r="C40" s="4" t="s">
        <v>88</v>
      </c>
    </row>
    <row r="41" spans="1:8" x14ac:dyDescent="0.35">
      <c r="A41" t="s">
        <v>1</v>
      </c>
      <c r="B41" s="5">
        <v>9</v>
      </c>
      <c r="C41" s="4" t="s">
        <v>128</v>
      </c>
      <c r="F41" s="8" t="s">
        <v>24</v>
      </c>
      <c r="G41" s="10">
        <f>B40/B41</f>
        <v>0.77777777777777779</v>
      </c>
      <c r="H41" s="9" t="s">
        <v>153</v>
      </c>
    </row>
    <row r="42" spans="1:8" x14ac:dyDescent="0.35">
      <c r="A42" t="s">
        <v>87</v>
      </c>
      <c r="B42" s="6">
        <f>ErlangC_P1(B40,B41)</f>
        <v>0.38494709415676881</v>
      </c>
      <c r="C42" s="4" t="s">
        <v>123</v>
      </c>
    </row>
    <row r="45" spans="1:8" ht="20" x14ac:dyDescent="0.55000000000000004">
      <c r="A45" s="26" t="s">
        <v>106</v>
      </c>
      <c r="B45" s="26"/>
      <c r="C45" s="26"/>
      <c r="D45" s="26"/>
      <c r="E45" s="26"/>
      <c r="F45" s="26"/>
      <c r="G45" s="26"/>
      <c r="H45" s="26"/>
    </row>
    <row r="47" spans="1:8" x14ac:dyDescent="0.35">
      <c r="A47" s="3" t="s">
        <v>75</v>
      </c>
    </row>
    <row r="48" spans="1:8" x14ac:dyDescent="0.35">
      <c r="A48" s="3" t="s">
        <v>28</v>
      </c>
    </row>
    <row r="49" spans="1:8" x14ac:dyDescent="0.35">
      <c r="A49" t="s">
        <v>105</v>
      </c>
    </row>
    <row r="50" spans="1:8" x14ac:dyDescent="0.35">
      <c r="A50" t="s">
        <v>131</v>
      </c>
    </row>
    <row r="52" spans="1:8" x14ac:dyDescent="0.35">
      <c r="A52" t="s">
        <v>0</v>
      </c>
      <c r="B52" s="5">
        <v>7</v>
      </c>
      <c r="C52" s="4" t="s">
        <v>88</v>
      </c>
    </row>
    <row r="53" spans="1:8" x14ac:dyDescent="0.35">
      <c r="A53" t="s">
        <v>1</v>
      </c>
      <c r="B53" s="5">
        <v>9</v>
      </c>
      <c r="C53" s="4" t="s">
        <v>128</v>
      </c>
      <c r="F53" s="8" t="s">
        <v>24</v>
      </c>
      <c r="G53" s="10">
        <f>B52/B53</f>
        <v>0.77777777777777779</v>
      </c>
      <c r="H53" s="9" t="s">
        <v>153</v>
      </c>
    </row>
    <row r="54" spans="1:8" x14ac:dyDescent="0.35">
      <c r="A54" t="s">
        <v>87</v>
      </c>
      <c r="B54" s="12">
        <f>ErlangC_ENQ(B52,B53)</f>
        <v>1.3473148295486908</v>
      </c>
      <c r="C54" s="4" t="s">
        <v>124</v>
      </c>
    </row>
    <row r="57" spans="1:8" ht="17" x14ac:dyDescent="0.4">
      <c r="A57" s="26" t="s">
        <v>107</v>
      </c>
      <c r="B57" s="26"/>
      <c r="C57" s="26"/>
      <c r="D57" s="26"/>
      <c r="E57" s="26"/>
      <c r="F57" s="26"/>
      <c r="G57" s="26"/>
      <c r="H57" s="26"/>
    </row>
    <row r="59" spans="1:8" x14ac:dyDescent="0.35">
      <c r="A59" s="3" t="s">
        <v>77</v>
      </c>
    </row>
    <row r="60" spans="1:8" x14ac:dyDescent="0.35">
      <c r="A60" s="3" t="s">
        <v>31</v>
      </c>
    </row>
    <row r="61" spans="1:8" x14ac:dyDescent="0.35">
      <c r="A61" t="s">
        <v>113</v>
      </c>
    </row>
    <row r="62" spans="1:8" x14ac:dyDescent="0.35">
      <c r="A62" t="s">
        <v>131</v>
      </c>
    </row>
    <row r="64" spans="1:8" x14ac:dyDescent="0.35">
      <c r="A64" t="s">
        <v>0</v>
      </c>
      <c r="B64" s="5">
        <v>7</v>
      </c>
      <c r="C64" s="4" t="s">
        <v>88</v>
      </c>
    </row>
    <row r="65" spans="1:8" x14ac:dyDescent="0.35">
      <c r="A65" t="s">
        <v>1</v>
      </c>
      <c r="B65" s="5">
        <v>9</v>
      </c>
      <c r="C65" s="4" t="s">
        <v>128</v>
      </c>
      <c r="F65" s="8" t="s">
        <v>24</v>
      </c>
      <c r="G65" s="10">
        <f>B64/B65</f>
        <v>0.77777777777777779</v>
      </c>
      <c r="H65" s="9" t="s">
        <v>153</v>
      </c>
    </row>
    <row r="66" spans="1:8" x14ac:dyDescent="0.35">
      <c r="A66" t="s">
        <v>87</v>
      </c>
      <c r="B66" s="12">
        <f>ErlangC_EN(B64,B65)</f>
        <v>8.3473148295486901</v>
      </c>
      <c r="C66" s="4" t="s">
        <v>125</v>
      </c>
    </row>
    <row r="69" spans="1:8" ht="17" x14ac:dyDescent="0.4">
      <c r="A69" s="26" t="s">
        <v>108</v>
      </c>
      <c r="B69" s="26"/>
      <c r="C69" s="26"/>
      <c r="D69" s="26"/>
      <c r="E69" s="26"/>
      <c r="F69" s="26"/>
      <c r="G69" s="26"/>
      <c r="H69" s="26"/>
    </row>
    <row r="71" spans="1:8" x14ac:dyDescent="0.35">
      <c r="A71" s="3" t="s">
        <v>76</v>
      </c>
    </row>
    <row r="72" spans="1:8" x14ac:dyDescent="0.35">
      <c r="A72" s="3" t="s">
        <v>36</v>
      </c>
    </row>
    <row r="73" spans="1:8" x14ac:dyDescent="0.35">
      <c r="A73" t="s">
        <v>114</v>
      </c>
    </row>
    <row r="74" spans="1:8" x14ac:dyDescent="0.35">
      <c r="A74" t="s">
        <v>132</v>
      </c>
    </row>
    <row r="76" spans="1:8" x14ac:dyDescent="0.35">
      <c r="A76" t="s">
        <v>3</v>
      </c>
      <c r="B76" s="5">
        <f>1/10</f>
        <v>0.1</v>
      </c>
      <c r="C76" s="4" t="s">
        <v>95</v>
      </c>
      <c r="F76" s="8" t="s">
        <v>22</v>
      </c>
      <c r="G76" s="9">
        <f>1/B76</f>
        <v>10</v>
      </c>
      <c r="H76" s="9" t="s">
        <v>97</v>
      </c>
    </row>
    <row r="77" spans="1:8" x14ac:dyDescent="0.35">
      <c r="A77" t="s">
        <v>4</v>
      </c>
      <c r="B77" s="5">
        <f>1/300</f>
        <v>3.3333333333333335E-3</v>
      </c>
      <c r="C77" s="4" t="s">
        <v>96</v>
      </c>
      <c r="F77" s="8" t="s">
        <v>23</v>
      </c>
      <c r="G77" s="9">
        <f>1/B77</f>
        <v>300</v>
      </c>
      <c r="H77" s="9" t="s">
        <v>98</v>
      </c>
    </row>
    <row r="78" spans="1:8" x14ac:dyDescent="0.35">
      <c r="A78" t="s">
        <v>1</v>
      </c>
      <c r="B78" s="5">
        <v>35</v>
      </c>
      <c r="C78" s="4" t="s">
        <v>128</v>
      </c>
      <c r="F78" s="8" t="s">
        <v>24</v>
      </c>
      <c r="G78" s="10">
        <f>B76/B77/B78</f>
        <v>0.8571428571428571</v>
      </c>
      <c r="H78" s="9" t="s">
        <v>153</v>
      </c>
    </row>
    <row r="79" spans="1:8" x14ac:dyDescent="0.35">
      <c r="A79" t="s">
        <v>87</v>
      </c>
      <c r="B79" s="11">
        <f>ErlangC_EW(B76,B77,B78)</f>
        <v>17.074947744810441</v>
      </c>
      <c r="C79" s="4" t="s">
        <v>126</v>
      </c>
    </row>
    <row r="82" spans="1:8" ht="17" x14ac:dyDescent="0.4">
      <c r="A82" s="26" t="s">
        <v>109</v>
      </c>
      <c r="B82" s="26"/>
      <c r="C82" s="26"/>
      <c r="D82" s="26"/>
      <c r="E82" s="26"/>
      <c r="F82" s="26"/>
      <c r="G82" s="26"/>
      <c r="H82" s="26"/>
    </row>
    <row r="84" spans="1:8" x14ac:dyDescent="0.35">
      <c r="A84" s="3" t="s">
        <v>78</v>
      </c>
    </row>
    <row r="85" spans="1:8" x14ac:dyDescent="0.35">
      <c r="A85" s="3" t="s">
        <v>44</v>
      </c>
    </row>
    <row r="86" spans="1:8" x14ac:dyDescent="0.35">
      <c r="A86" t="s">
        <v>115</v>
      </c>
    </row>
    <row r="87" spans="1:8" x14ac:dyDescent="0.35">
      <c r="A87" t="s">
        <v>132</v>
      </c>
    </row>
    <row r="89" spans="1:8" x14ac:dyDescent="0.35">
      <c r="A89" t="s">
        <v>3</v>
      </c>
      <c r="B89" s="5">
        <f>1/10</f>
        <v>0.1</v>
      </c>
      <c r="C89" s="4" t="s">
        <v>95</v>
      </c>
      <c r="F89" s="8" t="s">
        <v>22</v>
      </c>
      <c r="G89" s="9">
        <f>1/B89</f>
        <v>10</v>
      </c>
      <c r="H89" s="9" t="s">
        <v>97</v>
      </c>
    </row>
    <row r="90" spans="1:8" x14ac:dyDescent="0.35">
      <c r="A90" t="s">
        <v>4</v>
      </c>
      <c r="B90" s="5">
        <f>1/300</f>
        <v>3.3333333333333335E-3</v>
      </c>
      <c r="C90" s="4" t="s">
        <v>96</v>
      </c>
      <c r="F90" s="8" t="s">
        <v>23</v>
      </c>
      <c r="G90" s="9">
        <f>1/B90</f>
        <v>300</v>
      </c>
      <c r="H90" s="9" t="s">
        <v>98</v>
      </c>
    </row>
    <row r="91" spans="1:8" x14ac:dyDescent="0.35">
      <c r="A91" t="s">
        <v>1</v>
      </c>
      <c r="B91" s="5">
        <v>35</v>
      </c>
      <c r="C91" s="4" t="s">
        <v>128</v>
      </c>
      <c r="F91" s="8" t="s">
        <v>24</v>
      </c>
      <c r="G91" s="10">
        <f>B89/B90/B91</f>
        <v>0.8571428571428571</v>
      </c>
      <c r="H91" s="9" t="s">
        <v>153</v>
      </c>
    </row>
    <row r="92" spans="1:8" x14ac:dyDescent="0.35">
      <c r="A92" t="s">
        <v>87</v>
      </c>
      <c r="B92" s="11">
        <f>ErlangC_EV(B89,B90,B91)</f>
        <v>317.0749477448104</v>
      </c>
      <c r="C92" s="4" t="s">
        <v>127</v>
      </c>
    </row>
  </sheetData>
  <mergeCells count="8">
    <mergeCell ref="A69:H69"/>
    <mergeCell ref="A82:H82"/>
    <mergeCell ref="A1:H1"/>
    <mergeCell ref="A9:H9"/>
    <mergeCell ref="A21:H21"/>
    <mergeCell ref="A34:H34"/>
    <mergeCell ref="A45:H45"/>
    <mergeCell ref="A57:H57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2"/>
  <dimension ref="A1:H92"/>
  <sheetViews>
    <sheetView workbookViewId="0">
      <selection sqref="A1:H1"/>
    </sheetView>
  </sheetViews>
  <sheetFormatPr baseColWidth="10" defaultRowHeight="14.5" x14ac:dyDescent="0.35"/>
  <cols>
    <col min="1" max="1" width="8.453125" customWidth="1"/>
    <col min="2" max="2" width="7" customWidth="1"/>
    <col min="5" max="5" width="5.54296875" customWidth="1"/>
    <col min="6" max="6" width="7" customWidth="1"/>
    <col min="7" max="7" width="4.54296875" customWidth="1"/>
    <col min="8" max="8" width="29.81640625" customWidth="1"/>
  </cols>
  <sheetData>
    <row r="1" spans="1:8" ht="21" x14ac:dyDescent="0.5">
      <c r="A1" s="27" t="s">
        <v>156</v>
      </c>
      <c r="B1" s="27"/>
      <c r="C1" s="27"/>
      <c r="D1" s="27"/>
      <c r="E1" s="27"/>
      <c r="F1" s="27"/>
      <c r="G1" s="27"/>
      <c r="H1" s="27"/>
    </row>
    <row r="3" spans="1:8" x14ac:dyDescent="0.35">
      <c r="A3" t="s">
        <v>33</v>
      </c>
    </row>
    <row r="4" spans="1:8" x14ac:dyDescent="0.35">
      <c r="A4" t="s">
        <v>34</v>
      </c>
    </row>
    <row r="5" spans="1:8" x14ac:dyDescent="0.35">
      <c r="A5" s="7" t="s">
        <v>118</v>
      </c>
    </row>
    <row r="6" spans="1:8" x14ac:dyDescent="0.35">
      <c r="A6" t="s">
        <v>35</v>
      </c>
    </row>
    <row r="9" spans="1:8" ht="20" x14ac:dyDescent="0.55000000000000004">
      <c r="A9" s="26" t="s">
        <v>12</v>
      </c>
      <c r="B9" s="26"/>
      <c r="C9" s="26"/>
      <c r="D9" s="26"/>
      <c r="E9" s="26"/>
      <c r="F9" s="26"/>
      <c r="G9" s="26"/>
      <c r="H9" s="26"/>
    </row>
    <row r="10" spans="1:8" x14ac:dyDescent="0.35">
      <c r="A10" s="2"/>
    </row>
    <row r="11" spans="1:8" x14ac:dyDescent="0.35">
      <c r="A11" s="3" t="s">
        <v>8</v>
      </c>
    </row>
    <row r="12" spans="1:8" x14ac:dyDescent="0.35">
      <c r="A12" t="s">
        <v>86</v>
      </c>
    </row>
    <row r="13" spans="1:8" x14ac:dyDescent="0.35">
      <c r="A13" t="s">
        <v>14</v>
      </c>
    </row>
    <row r="15" spans="1:8" x14ac:dyDescent="0.35">
      <c r="A15" t="s">
        <v>0</v>
      </c>
      <c r="B15" s="5">
        <v>7</v>
      </c>
      <c r="C15" s="4" t="s">
        <v>16</v>
      </c>
    </row>
    <row r="16" spans="1:8" x14ac:dyDescent="0.35">
      <c r="A16" t="s">
        <v>1</v>
      </c>
      <c r="B16" s="5">
        <v>9</v>
      </c>
      <c r="C16" s="4" t="s">
        <v>120</v>
      </c>
      <c r="F16" s="8" t="s">
        <v>24</v>
      </c>
      <c r="G16" s="10">
        <f>B15/B16</f>
        <v>0.77777777777777779</v>
      </c>
      <c r="H16" s="9" t="s">
        <v>25</v>
      </c>
    </row>
    <row r="17" spans="1:8" x14ac:dyDescent="0.35">
      <c r="A17" t="s">
        <v>2</v>
      </c>
      <c r="B17" s="5">
        <v>3</v>
      </c>
      <c r="C17" s="4" t="s">
        <v>15</v>
      </c>
    </row>
    <row r="18" spans="1:8" x14ac:dyDescent="0.35">
      <c r="A18" t="s">
        <v>18</v>
      </c>
      <c r="B18" s="6">
        <f>MMcZustandsP(B15,B16,B17)</f>
        <v>4.3975630438567039E-2</v>
      </c>
      <c r="C18" s="4" t="s">
        <v>17</v>
      </c>
    </row>
    <row r="19" spans="1:8" x14ac:dyDescent="0.35">
      <c r="B19" s="1"/>
      <c r="C19" s="4"/>
    </row>
    <row r="21" spans="1:8" ht="17" x14ac:dyDescent="0.4">
      <c r="A21" s="26" t="s">
        <v>13</v>
      </c>
      <c r="B21" s="26"/>
      <c r="C21" s="26"/>
      <c r="D21" s="26"/>
      <c r="E21" s="26"/>
      <c r="F21" s="26"/>
      <c r="G21" s="26"/>
      <c r="H21" s="26"/>
    </row>
    <row r="23" spans="1:8" x14ac:dyDescent="0.35">
      <c r="A23" s="3" t="s">
        <v>9</v>
      </c>
    </row>
    <row r="24" spans="1:8" x14ac:dyDescent="0.35">
      <c r="A24" t="s">
        <v>93</v>
      </c>
    </row>
    <row r="25" spans="1:8" x14ac:dyDescent="0.35">
      <c r="A25" t="s">
        <v>37</v>
      </c>
    </row>
    <row r="27" spans="1:8" x14ac:dyDescent="0.35">
      <c r="A27" t="s">
        <v>3</v>
      </c>
      <c r="B27" s="5">
        <f>1/10</f>
        <v>0.1</v>
      </c>
      <c r="C27" s="4" t="s">
        <v>19</v>
      </c>
      <c r="F27" s="8" t="s">
        <v>22</v>
      </c>
      <c r="G27" s="9">
        <f>1/B27</f>
        <v>10</v>
      </c>
      <c r="H27" s="9" t="s">
        <v>26</v>
      </c>
    </row>
    <row r="28" spans="1:8" x14ac:dyDescent="0.35">
      <c r="A28" t="s">
        <v>4</v>
      </c>
      <c r="B28" s="5">
        <f>1/300</f>
        <v>3.3333333333333335E-3</v>
      </c>
      <c r="C28" s="4" t="s">
        <v>20</v>
      </c>
      <c r="F28" s="8" t="s">
        <v>23</v>
      </c>
      <c r="G28" s="9">
        <f>1/B28</f>
        <v>300</v>
      </c>
      <c r="H28" s="9" t="s">
        <v>27</v>
      </c>
    </row>
    <row r="29" spans="1:8" x14ac:dyDescent="0.35">
      <c r="A29" t="s">
        <v>1</v>
      </c>
      <c r="B29" s="5">
        <v>35</v>
      </c>
      <c r="C29" s="4" t="s">
        <v>120</v>
      </c>
      <c r="F29" s="8" t="s">
        <v>24</v>
      </c>
      <c r="G29" s="10">
        <f>B27/B28/B29</f>
        <v>0.8571428571428571</v>
      </c>
      <c r="H29" s="9" t="s">
        <v>25</v>
      </c>
    </row>
    <row r="30" spans="1:8" x14ac:dyDescent="0.35">
      <c r="A30" t="s">
        <v>5</v>
      </c>
      <c r="B30" s="5">
        <v>20</v>
      </c>
      <c r="C30" s="4" t="s">
        <v>42</v>
      </c>
    </row>
    <row r="31" spans="1:8" x14ac:dyDescent="0.35">
      <c r="A31" t="s">
        <v>18</v>
      </c>
      <c r="B31" s="6">
        <f>ErlangC(1/10,1/300,35,20)</f>
        <v>0.79608775524053343</v>
      </c>
      <c r="C31" s="4" t="s">
        <v>21</v>
      </c>
    </row>
    <row r="34" spans="1:8" ht="17" x14ac:dyDescent="0.4">
      <c r="A34" s="26" t="s">
        <v>11</v>
      </c>
      <c r="B34" s="26"/>
      <c r="C34" s="26"/>
      <c r="D34" s="26"/>
      <c r="E34" s="26"/>
      <c r="F34" s="26"/>
      <c r="G34" s="26"/>
      <c r="H34" s="26"/>
    </row>
    <row r="36" spans="1:8" x14ac:dyDescent="0.35">
      <c r="A36" s="3" t="s">
        <v>10</v>
      </c>
    </row>
    <row r="37" spans="1:8" x14ac:dyDescent="0.35">
      <c r="A37" t="s">
        <v>103</v>
      </c>
    </row>
    <row r="38" spans="1:8" x14ac:dyDescent="0.35">
      <c r="A38" t="s">
        <v>14</v>
      </c>
    </row>
    <row r="40" spans="1:8" x14ac:dyDescent="0.35">
      <c r="A40" t="s">
        <v>0</v>
      </c>
      <c r="B40" s="5">
        <v>7</v>
      </c>
      <c r="C40" s="4" t="s">
        <v>16</v>
      </c>
    </row>
    <row r="41" spans="1:8" x14ac:dyDescent="0.35">
      <c r="A41" t="s">
        <v>1</v>
      </c>
      <c r="B41" s="5">
        <v>9</v>
      </c>
      <c r="C41" s="4" t="s">
        <v>120</v>
      </c>
      <c r="F41" s="8" t="s">
        <v>24</v>
      </c>
      <c r="G41" s="10">
        <f>B40/B41</f>
        <v>0.77777777777777779</v>
      </c>
      <c r="H41" s="9" t="s">
        <v>25</v>
      </c>
    </row>
    <row r="42" spans="1:8" x14ac:dyDescent="0.35">
      <c r="A42" t="s">
        <v>18</v>
      </c>
      <c r="B42" s="6">
        <f>ErlangC_P1(B40,B41)</f>
        <v>0.38494709415676881</v>
      </c>
      <c r="C42" s="4" t="s">
        <v>38</v>
      </c>
    </row>
    <row r="45" spans="1:8" ht="20" x14ac:dyDescent="0.55000000000000004">
      <c r="A45" s="26" t="s">
        <v>29</v>
      </c>
      <c r="B45" s="26"/>
      <c r="C45" s="26"/>
      <c r="D45" s="26"/>
      <c r="E45" s="26"/>
      <c r="F45" s="26"/>
      <c r="G45" s="26"/>
      <c r="H45" s="26"/>
    </row>
    <row r="47" spans="1:8" x14ac:dyDescent="0.35">
      <c r="A47" s="3" t="s">
        <v>75</v>
      </c>
    </row>
    <row r="48" spans="1:8" x14ac:dyDescent="0.35">
      <c r="A48" s="3" t="s">
        <v>28</v>
      </c>
    </row>
    <row r="49" spans="1:8" x14ac:dyDescent="0.35">
      <c r="A49" t="s">
        <v>104</v>
      </c>
    </row>
    <row r="50" spans="1:8" x14ac:dyDescent="0.35">
      <c r="A50" t="s">
        <v>14</v>
      </c>
    </row>
    <row r="52" spans="1:8" x14ac:dyDescent="0.35">
      <c r="A52" t="s">
        <v>0</v>
      </c>
      <c r="B52" s="5">
        <v>7</v>
      </c>
      <c r="C52" s="4" t="s">
        <v>16</v>
      </c>
    </row>
    <row r="53" spans="1:8" x14ac:dyDescent="0.35">
      <c r="A53" t="s">
        <v>1</v>
      </c>
      <c r="B53" s="5">
        <v>9</v>
      </c>
      <c r="C53" s="4" t="s">
        <v>120</v>
      </c>
      <c r="F53" s="8" t="s">
        <v>24</v>
      </c>
      <c r="G53" s="10">
        <f>B52/B53</f>
        <v>0.77777777777777779</v>
      </c>
      <c r="H53" s="9" t="s">
        <v>25</v>
      </c>
    </row>
    <row r="54" spans="1:8" x14ac:dyDescent="0.35">
      <c r="A54" t="s">
        <v>18</v>
      </c>
      <c r="B54" s="12">
        <f>ErlangC_ENQ(B52,B53)</f>
        <v>1.3473148295486908</v>
      </c>
      <c r="C54" s="4" t="s">
        <v>39</v>
      </c>
    </row>
    <row r="57" spans="1:8" ht="17" x14ac:dyDescent="0.4">
      <c r="A57" s="26" t="s">
        <v>30</v>
      </c>
      <c r="B57" s="26"/>
      <c r="C57" s="26"/>
      <c r="D57" s="26"/>
      <c r="E57" s="26"/>
      <c r="F57" s="26"/>
      <c r="G57" s="26"/>
      <c r="H57" s="26"/>
    </row>
    <row r="59" spans="1:8" x14ac:dyDescent="0.35">
      <c r="A59" s="3" t="s">
        <v>77</v>
      </c>
    </row>
    <row r="60" spans="1:8" x14ac:dyDescent="0.35">
      <c r="A60" s="3" t="s">
        <v>31</v>
      </c>
    </row>
    <row r="61" spans="1:8" x14ac:dyDescent="0.35">
      <c r="A61" t="s">
        <v>110</v>
      </c>
    </row>
    <row r="62" spans="1:8" x14ac:dyDescent="0.35">
      <c r="A62" t="s">
        <v>14</v>
      </c>
    </row>
    <row r="64" spans="1:8" x14ac:dyDescent="0.35">
      <c r="A64" t="s">
        <v>0</v>
      </c>
      <c r="B64" s="5">
        <v>7</v>
      </c>
      <c r="C64" s="4" t="s">
        <v>16</v>
      </c>
    </row>
    <row r="65" spans="1:8" x14ac:dyDescent="0.35">
      <c r="A65" t="s">
        <v>1</v>
      </c>
      <c r="B65" s="5">
        <v>9</v>
      </c>
      <c r="C65" s="4" t="s">
        <v>120</v>
      </c>
      <c r="F65" s="8" t="s">
        <v>24</v>
      </c>
      <c r="G65" s="10">
        <f>B64/B65</f>
        <v>0.77777777777777779</v>
      </c>
      <c r="H65" s="9" t="s">
        <v>25</v>
      </c>
    </row>
    <row r="66" spans="1:8" x14ac:dyDescent="0.35">
      <c r="A66" t="s">
        <v>18</v>
      </c>
      <c r="B66" s="12">
        <f>ErlangC_EN(B64,B65)</f>
        <v>8.3473148295486901</v>
      </c>
      <c r="C66" s="4" t="s">
        <v>40</v>
      </c>
    </row>
    <row r="69" spans="1:8" ht="17" x14ac:dyDescent="0.4">
      <c r="A69" s="26" t="s">
        <v>32</v>
      </c>
      <c r="B69" s="26"/>
      <c r="C69" s="26"/>
      <c r="D69" s="26"/>
      <c r="E69" s="26"/>
      <c r="F69" s="26"/>
      <c r="G69" s="26"/>
      <c r="H69" s="26"/>
    </row>
    <row r="71" spans="1:8" x14ac:dyDescent="0.35">
      <c r="A71" s="3" t="s">
        <v>76</v>
      </c>
    </row>
    <row r="72" spans="1:8" x14ac:dyDescent="0.35">
      <c r="A72" s="3" t="s">
        <v>36</v>
      </c>
    </row>
    <row r="73" spans="1:8" x14ac:dyDescent="0.35">
      <c r="A73" t="s">
        <v>111</v>
      </c>
    </row>
    <row r="74" spans="1:8" x14ac:dyDescent="0.35">
      <c r="A74" t="s">
        <v>37</v>
      </c>
    </row>
    <row r="76" spans="1:8" x14ac:dyDescent="0.35">
      <c r="A76" t="s">
        <v>3</v>
      </c>
      <c r="B76" s="5">
        <f>1/10</f>
        <v>0.1</v>
      </c>
      <c r="C76" s="4" t="s">
        <v>19</v>
      </c>
      <c r="F76" s="8" t="s">
        <v>22</v>
      </c>
      <c r="G76" s="9">
        <f>1/B76</f>
        <v>10</v>
      </c>
      <c r="H76" s="9" t="s">
        <v>26</v>
      </c>
    </row>
    <row r="77" spans="1:8" x14ac:dyDescent="0.35">
      <c r="A77" t="s">
        <v>4</v>
      </c>
      <c r="B77" s="5">
        <f>1/300</f>
        <v>3.3333333333333335E-3</v>
      </c>
      <c r="C77" s="4" t="s">
        <v>20</v>
      </c>
      <c r="F77" s="8" t="s">
        <v>23</v>
      </c>
      <c r="G77" s="9">
        <f>1/B77</f>
        <v>300</v>
      </c>
      <c r="H77" s="9" t="s">
        <v>27</v>
      </c>
    </row>
    <row r="78" spans="1:8" x14ac:dyDescent="0.35">
      <c r="A78" t="s">
        <v>1</v>
      </c>
      <c r="B78" s="5">
        <v>35</v>
      </c>
      <c r="C78" s="4" t="s">
        <v>120</v>
      </c>
      <c r="F78" s="8" t="s">
        <v>24</v>
      </c>
      <c r="G78" s="10">
        <f>B76/B77/B78</f>
        <v>0.8571428571428571</v>
      </c>
      <c r="H78" s="9" t="s">
        <v>25</v>
      </c>
    </row>
    <row r="79" spans="1:8" x14ac:dyDescent="0.35">
      <c r="A79" t="s">
        <v>18</v>
      </c>
      <c r="B79" s="11">
        <f>ErlangC_EW(B76,B77,B78)</f>
        <v>17.074947744810441</v>
      </c>
      <c r="C79" s="4" t="s">
        <v>41</v>
      </c>
    </row>
    <row r="82" spans="1:8" ht="17" x14ac:dyDescent="0.4">
      <c r="A82" s="26" t="s">
        <v>43</v>
      </c>
      <c r="B82" s="26"/>
      <c r="C82" s="26"/>
      <c r="D82" s="26"/>
      <c r="E82" s="26"/>
      <c r="F82" s="26"/>
      <c r="G82" s="26"/>
      <c r="H82" s="26"/>
    </row>
    <row r="84" spans="1:8" x14ac:dyDescent="0.35">
      <c r="A84" s="3" t="s">
        <v>78</v>
      </c>
    </row>
    <row r="85" spans="1:8" x14ac:dyDescent="0.35">
      <c r="A85" s="3" t="s">
        <v>44</v>
      </c>
    </row>
    <row r="86" spans="1:8" x14ac:dyDescent="0.35">
      <c r="A86" t="s">
        <v>112</v>
      </c>
    </row>
    <row r="87" spans="1:8" x14ac:dyDescent="0.35">
      <c r="A87" t="s">
        <v>37</v>
      </c>
    </row>
    <row r="89" spans="1:8" x14ac:dyDescent="0.35">
      <c r="A89" t="s">
        <v>3</v>
      </c>
      <c r="B89" s="5">
        <f>1/10</f>
        <v>0.1</v>
      </c>
      <c r="C89" s="4" t="s">
        <v>19</v>
      </c>
      <c r="F89" s="8" t="s">
        <v>22</v>
      </c>
      <c r="G89" s="9">
        <f>1/B89</f>
        <v>10</v>
      </c>
      <c r="H89" s="9" t="s">
        <v>26</v>
      </c>
    </row>
    <row r="90" spans="1:8" x14ac:dyDescent="0.35">
      <c r="A90" t="s">
        <v>4</v>
      </c>
      <c r="B90" s="5">
        <f>1/300</f>
        <v>3.3333333333333335E-3</v>
      </c>
      <c r="C90" s="4" t="s">
        <v>20</v>
      </c>
      <c r="F90" s="8" t="s">
        <v>23</v>
      </c>
      <c r="G90" s="9">
        <f>1/B90</f>
        <v>300</v>
      </c>
      <c r="H90" s="9" t="s">
        <v>27</v>
      </c>
    </row>
    <row r="91" spans="1:8" x14ac:dyDescent="0.35">
      <c r="A91" t="s">
        <v>1</v>
      </c>
      <c r="B91" s="5">
        <v>35</v>
      </c>
      <c r="C91" s="4" t="s">
        <v>120</v>
      </c>
      <c r="F91" s="8" t="s">
        <v>24</v>
      </c>
      <c r="G91" s="10">
        <f>B89/B90/B91</f>
        <v>0.8571428571428571</v>
      </c>
      <c r="H91" s="9" t="s">
        <v>25</v>
      </c>
    </row>
    <row r="92" spans="1:8" x14ac:dyDescent="0.35">
      <c r="A92" t="s">
        <v>18</v>
      </c>
      <c r="B92" s="11">
        <f>ErlangC_EV(B89,B90,B91)</f>
        <v>317.0749477448104</v>
      </c>
      <c r="C92" s="4" t="s">
        <v>45</v>
      </c>
    </row>
  </sheetData>
  <mergeCells count="8">
    <mergeCell ref="A69:H69"/>
    <mergeCell ref="A82:H82"/>
    <mergeCell ref="A9:H9"/>
    <mergeCell ref="A21:H21"/>
    <mergeCell ref="A1:H1"/>
    <mergeCell ref="A34:H34"/>
    <mergeCell ref="A45:H45"/>
    <mergeCell ref="A57:H57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AEC3-CE47-419E-B5D7-6547E040A5E0}">
  <sheetPr codeName="Tabelle5"/>
  <dimension ref="A1:H117"/>
  <sheetViews>
    <sheetView workbookViewId="0">
      <selection activeCell="A48" sqref="A48"/>
    </sheetView>
  </sheetViews>
  <sheetFormatPr baseColWidth="10" defaultRowHeight="14.5" x14ac:dyDescent="0.35"/>
  <cols>
    <col min="1" max="1" width="8.453125" customWidth="1"/>
    <col min="2" max="2" width="7" customWidth="1"/>
    <col min="5" max="5" width="5.54296875" customWidth="1"/>
    <col min="6" max="6" width="7" customWidth="1"/>
    <col min="7" max="7" width="4.54296875" customWidth="1"/>
    <col min="8" max="8" width="29.81640625" customWidth="1"/>
  </cols>
  <sheetData>
    <row r="1" spans="1:8" ht="21" x14ac:dyDescent="0.5">
      <c r="A1" s="27" t="s">
        <v>155</v>
      </c>
      <c r="B1" s="27"/>
      <c r="C1" s="27"/>
      <c r="D1" s="27"/>
      <c r="E1" s="27"/>
      <c r="F1" s="27"/>
      <c r="G1" s="27"/>
      <c r="H1" s="27"/>
    </row>
    <row r="3" spans="1:8" x14ac:dyDescent="0.35">
      <c r="A3" t="s">
        <v>80</v>
      </c>
    </row>
    <row r="4" spans="1:8" x14ac:dyDescent="0.35">
      <c r="A4" t="s">
        <v>81</v>
      </c>
    </row>
    <row r="5" spans="1:8" x14ac:dyDescent="0.35">
      <c r="A5" t="s">
        <v>133</v>
      </c>
    </row>
    <row r="6" spans="1:8" x14ac:dyDescent="0.35">
      <c r="A6" s="7" t="s">
        <v>117</v>
      </c>
    </row>
    <row r="7" spans="1:8" x14ac:dyDescent="0.35">
      <c r="A7" t="s">
        <v>141</v>
      </c>
    </row>
    <row r="10" spans="1:8" ht="20" x14ac:dyDescent="0.55000000000000004">
      <c r="A10" s="26" t="s">
        <v>85</v>
      </c>
      <c r="B10" s="26"/>
      <c r="C10" s="26"/>
      <c r="D10" s="26"/>
      <c r="E10" s="26"/>
      <c r="F10" s="26"/>
      <c r="G10" s="26"/>
      <c r="H10" s="26"/>
    </row>
    <row r="11" spans="1:8" x14ac:dyDescent="0.35">
      <c r="A11" s="2"/>
    </row>
    <row r="12" spans="1:8" x14ac:dyDescent="0.35">
      <c r="A12" s="3" t="s">
        <v>57</v>
      </c>
    </row>
    <row r="13" spans="1:8" x14ac:dyDescent="0.35">
      <c r="A13" t="s">
        <v>121</v>
      </c>
    </row>
    <row r="14" spans="1:8" x14ac:dyDescent="0.35">
      <c r="A14" t="s">
        <v>143</v>
      </c>
    </row>
    <row r="15" spans="1:8" x14ac:dyDescent="0.35">
      <c r="A15" t="s">
        <v>144</v>
      </c>
    </row>
    <row r="17" spans="1:8" x14ac:dyDescent="0.35">
      <c r="A17" t="s">
        <v>3</v>
      </c>
      <c r="B17" s="5">
        <f>1/10</f>
        <v>0.1</v>
      </c>
      <c r="C17" s="4" t="s">
        <v>95</v>
      </c>
      <c r="F17" s="8" t="s">
        <v>22</v>
      </c>
      <c r="G17" s="9">
        <f>1/B17</f>
        <v>10</v>
      </c>
      <c r="H17" s="9" t="s">
        <v>97</v>
      </c>
    </row>
    <row r="18" spans="1:8" x14ac:dyDescent="0.35">
      <c r="A18" t="s">
        <v>4</v>
      </c>
      <c r="B18" s="5">
        <f>1/240</f>
        <v>4.1666666666666666E-3</v>
      </c>
      <c r="C18" s="4" t="s">
        <v>96</v>
      </c>
      <c r="F18" s="8" t="s">
        <v>23</v>
      </c>
      <c r="G18" s="9">
        <f>1/B18</f>
        <v>240</v>
      </c>
      <c r="H18" s="9" t="s">
        <v>98</v>
      </c>
    </row>
    <row r="19" spans="1:8" x14ac:dyDescent="0.35">
      <c r="A19" t="s">
        <v>6</v>
      </c>
      <c r="B19" s="5">
        <f>1/300</f>
        <v>3.3333333333333335E-3</v>
      </c>
      <c r="C19" s="4" t="s">
        <v>136</v>
      </c>
      <c r="F19" s="8" t="s">
        <v>62</v>
      </c>
      <c r="G19" s="9">
        <f>1/B19</f>
        <v>300</v>
      </c>
      <c r="H19" s="9" t="s">
        <v>139</v>
      </c>
    </row>
    <row r="20" spans="1:8" x14ac:dyDescent="0.35">
      <c r="A20" t="s">
        <v>1</v>
      </c>
      <c r="B20" s="5">
        <v>28</v>
      </c>
      <c r="C20" s="4" t="s">
        <v>128</v>
      </c>
      <c r="F20" s="8" t="s">
        <v>24</v>
      </c>
      <c r="G20" s="10">
        <f>B17/B18/B20</f>
        <v>0.8571428571428571</v>
      </c>
      <c r="H20" s="9" t="s">
        <v>151</v>
      </c>
    </row>
    <row r="21" spans="1:8" x14ac:dyDescent="0.35">
      <c r="A21" t="s">
        <v>7</v>
      </c>
      <c r="B21" s="5">
        <v>80</v>
      </c>
      <c r="C21" s="4" t="s">
        <v>138</v>
      </c>
      <c r="F21" s="8"/>
      <c r="G21" s="10"/>
      <c r="H21" s="9"/>
    </row>
    <row r="22" spans="1:8" x14ac:dyDescent="0.35">
      <c r="A22" t="s">
        <v>2</v>
      </c>
      <c r="B22" s="5">
        <v>30</v>
      </c>
      <c r="C22" s="4" t="s">
        <v>89</v>
      </c>
    </row>
    <row r="23" spans="1:8" x14ac:dyDescent="0.35">
      <c r="A23" t="s">
        <v>87</v>
      </c>
      <c r="B23" s="6">
        <f>MMcKMZustandsP(B17,B18,B19,B20,B21,B22)</f>
        <v>3.6550867161883591E-2</v>
      </c>
      <c r="C23" s="4" t="s">
        <v>90</v>
      </c>
    </row>
    <row r="24" spans="1:8" x14ac:dyDescent="0.35">
      <c r="B24" s="1"/>
      <c r="C24" s="4"/>
    </row>
    <row r="26" spans="1:8" ht="17" x14ac:dyDescent="0.4">
      <c r="A26" s="26" t="s">
        <v>135</v>
      </c>
      <c r="B26" s="26"/>
      <c r="C26" s="26"/>
      <c r="D26" s="26"/>
      <c r="E26" s="26"/>
      <c r="F26" s="26"/>
      <c r="G26" s="26"/>
      <c r="H26" s="26"/>
    </row>
    <row r="28" spans="1:8" x14ac:dyDescent="0.35">
      <c r="A28" s="3" t="s">
        <v>60</v>
      </c>
    </row>
    <row r="29" spans="1:8" x14ac:dyDescent="0.35">
      <c r="A29" t="s">
        <v>122</v>
      </c>
    </row>
    <row r="30" spans="1:8" x14ac:dyDescent="0.35">
      <c r="A30" t="s">
        <v>143</v>
      </c>
    </row>
    <row r="31" spans="1:8" x14ac:dyDescent="0.35">
      <c r="A31" t="s">
        <v>144</v>
      </c>
    </row>
    <row r="33" spans="1:8" x14ac:dyDescent="0.35">
      <c r="A33" t="s">
        <v>3</v>
      </c>
      <c r="B33" s="5">
        <f>1/10</f>
        <v>0.1</v>
      </c>
      <c r="C33" s="4" t="s">
        <v>95</v>
      </c>
      <c r="F33" s="8" t="s">
        <v>22</v>
      </c>
      <c r="G33" s="9">
        <f>1/B33</f>
        <v>10</v>
      </c>
      <c r="H33" s="9" t="s">
        <v>97</v>
      </c>
    </row>
    <row r="34" spans="1:8" x14ac:dyDescent="0.35">
      <c r="A34" t="s">
        <v>4</v>
      </c>
      <c r="B34" s="5">
        <f>1/240</f>
        <v>4.1666666666666666E-3</v>
      </c>
      <c r="C34" s="4" t="s">
        <v>96</v>
      </c>
      <c r="F34" s="8" t="s">
        <v>23</v>
      </c>
      <c r="G34" s="9">
        <f>1/B34</f>
        <v>240</v>
      </c>
      <c r="H34" s="9" t="s">
        <v>98</v>
      </c>
    </row>
    <row r="35" spans="1:8" x14ac:dyDescent="0.35">
      <c r="A35" t="s">
        <v>6</v>
      </c>
      <c r="B35" s="5">
        <f>1/300</f>
        <v>3.3333333333333335E-3</v>
      </c>
      <c r="C35" s="4" t="s">
        <v>136</v>
      </c>
      <c r="F35" s="8" t="s">
        <v>62</v>
      </c>
      <c r="G35" s="9">
        <f>1/B35</f>
        <v>300</v>
      </c>
      <c r="H35" s="9" t="s">
        <v>139</v>
      </c>
    </row>
    <row r="36" spans="1:8" x14ac:dyDescent="0.35">
      <c r="A36" t="s">
        <v>1</v>
      </c>
      <c r="B36" s="5">
        <v>28</v>
      </c>
      <c r="C36" s="4" t="s">
        <v>128</v>
      </c>
      <c r="F36" s="8" t="s">
        <v>24</v>
      </c>
      <c r="G36" s="10">
        <f>B33/B34/B36</f>
        <v>0.8571428571428571</v>
      </c>
      <c r="H36" s="9" t="s">
        <v>151</v>
      </c>
    </row>
    <row r="37" spans="1:8" x14ac:dyDescent="0.35">
      <c r="A37" t="s">
        <v>7</v>
      </c>
      <c r="B37" s="5">
        <v>80</v>
      </c>
      <c r="C37" s="4" t="s">
        <v>138</v>
      </c>
      <c r="F37" s="8"/>
      <c r="G37" s="10"/>
      <c r="H37" s="9"/>
    </row>
    <row r="38" spans="1:8" x14ac:dyDescent="0.35">
      <c r="A38" t="s">
        <v>5</v>
      </c>
      <c r="B38" s="5">
        <v>20</v>
      </c>
      <c r="C38" s="4" t="s">
        <v>99</v>
      </c>
    </row>
    <row r="39" spans="1:8" x14ac:dyDescent="0.35">
      <c r="A39" t="s">
        <v>87</v>
      </c>
      <c r="B39" s="6">
        <f>ErwErlangC(B33,B34,B35,B36,B37,B38)</f>
        <v>0.86337219568430634</v>
      </c>
      <c r="C39" s="4" t="s">
        <v>100</v>
      </c>
    </row>
    <row r="42" spans="1:8" ht="17" x14ac:dyDescent="0.4">
      <c r="A42" s="26" t="s">
        <v>63</v>
      </c>
      <c r="B42" s="26"/>
      <c r="C42" s="26"/>
      <c r="D42" s="26"/>
      <c r="E42" s="26"/>
      <c r="F42" s="26"/>
      <c r="G42" s="26"/>
      <c r="H42" s="26"/>
    </row>
    <row r="44" spans="1:8" x14ac:dyDescent="0.35">
      <c r="A44" s="3" t="s">
        <v>64</v>
      </c>
    </row>
    <row r="45" spans="1:8" x14ac:dyDescent="0.35">
      <c r="A45" t="s">
        <v>146</v>
      </c>
    </row>
    <row r="46" spans="1:8" x14ac:dyDescent="0.35">
      <c r="A46" t="s">
        <v>143</v>
      </c>
    </row>
    <row r="47" spans="1:8" x14ac:dyDescent="0.35">
      <c r="A47" t="s">
        <v>144</v>
      </c>
    </row>
    <row r="49" spans="1:8" x14ac:dyDescent="0.35">
      <c r="A49" t="s">
        <v>3</v>
      </c>
      <c r="B49" s="5">
        <f>1/10</f>
        <v>0.1</v>
      </c>
      <c r="C49" s="4" t="s">
        <v>95</v>
      </c>
      <c r="F49" s="8" t="s">
        <v>22</v>
      </c>
      <c r="G49" s="9">
        <f>1/B49</f>
        <v>10</v>
      </c>
      <c r="H49" s="9" t="s">
        <v>97</v>
      </c>
    </row>
    <row r="50" spans="1:8" x14ac:dyDescent="0.35">
      <c r="A50" t="s">
        <v>4</v>
      </c>
      <c r="B50" s="5">
        <f>1/240</f>
        <v>4.1666666666666666E-3</v>
      </c>
      <c r="C50" s="4" t="s">
        <v>96</v>
      </c>
      <c r="F50" s="8" t="s">
        <v>23</v>
      </c>
      <c r="G50" s="9">
        <f>1/B50</f>
        <v>240</v>
      </c>
      <c r="H50" s="9" t="s">
        <v>98</v>
      </c>
    </row>
    <row r="51" spans="1:8" x14ac:dyDescent="0.35">
      <c r="A51" t="s">
        <v>6</v>
      </c>
      <c r="B51" s="5">
        <f>1/30</f>
        <v>3.3333333333333333E-2</v>
      </c>
      <c r="C51" s="4" t="s">
        <v>136</v>
      </c>
      <c r="F51" s="8" t="s">
        <v>62</v>
      </c>
      <c r="G51" s="9">
        <f>1/B51</f>
        <v>30</v>
      </c>
      <c r="H51" s="9" t="s">
        <v>139</v>
      </c>
    </row>
    <row r="52" spans="1:8" x14ac:dyDescent="0.35">
      <c r="A52" t="s">
        <v>1</v>
      </c>
      <c r="B52" s="5">
        <v>25</v>
      </c>
      <c r="C52" s="4" t="s">
        <v>128</v>
      </c>
      <c r="F52" s="8" t="s">
        <v>24</v>
      </c>
      <c r="G52" s="10">
        <f>B49/B50/B52</f>
        <v>0.96</v>
      </c>
      <c r="H52" s="9" t="s">
        <v>151</v>
      </c>
    </row>
    <row r="53" spans="1:8" x14ac:dyDescent="0.35">
      <c r="A53" t="s">
        <v>7</v>
      </c>
      <c r="B53" s="5">
        <v>80</v>
      </c>
      <c r="C53" s="4" t="s">
        <v>138</v>
      </c>
      <c r="F53" s="8"/>
      <c r="G53" s="10"/>
      <c r="H53" s="9"/>
    </row>
    <row r="54" spans="1:8" x14ac:dyDescent="0.35">
      <c r="A54" t="s">
        <v>87</v>
      </c>
      <c r="B54" s="6">
        <f>ErwErlangC_PA(B49,B50,B51,B52,B53)</f>
        <v>9.7590815625468189E-2</v>
      </c>
      <c r="C54" s="4" t="s">
        <v>147</v>
      </c>
    </row>
    <row r="57" spans="1:8" ht="20" x14ac:dyDescent="0.55000000000000004">
      <c r="A57" s="26" t="s">
        <v>106</v>
      </c>
      <c r="B57" s="26"/>
      <c r="C57" s="26"/>
      <c r="D57" s="26"/>
      <c r="E57" s="26"/>
      <c r="F57" s="26"/>
      <c r="G57" s="26"/>
      <c r="H57" s="26"/>
    </row>
    <row r="59" spans="1:8" x14ac:dyDescent="0.35">
      <c r="A59" s="3" t="s">
        <v>67</v>
      </c>
    </row>
    <row r="60" spans="1:8" x14ac:dyDescent="0.35">
      <c r="A60" t="s">
        <v>105</v>
      </c>
    </row>
    <row r="61" spans="1:8" x14ac:dyDescent="0.35">
      <c r="A61" t="s">
        <v>143</v>
      </c>
    </row>
    <row r="62" spans="1:8" x14ac:dyDescent="0.35">
      <c r="A62" t="s">
        <v>144</v>
      </c>
    </row>
    <row r="64" spans="1:8" x14ac:dyDescent="0.35">
      <c r="A64" t="s">
        <v>3</v>
      </c>
      <c r="B64" s="5">
        <f>1/10</f>
        <v>0.1</v>
      </c>
      <c r="C64" s="4" t="s">
        <v>95</v>
      </c>
      <c r="F64" s="8" t="s">
        <v>22</v>
      </c>
      <c r="G64" s="9">
        <f>1/B64</f>
        <v>10</v>
      </c>
      <c r="H64" s="9" t="s">
        <v>97</v>
      </c>
    </row>
    <row r="65" spans="1:8" x14ac:dyDescent="0.35">
      <c r="A65" t="s">
        <v>4</v>
      </c>
      <c r="B65" s="5">
        <f>1/240</f>
        <v>4.1666666666666666E-3</v>
      </c>
      <c r="C65" s="4" t="s">
        <v>96</v>
      </c>
      <c r="F65" s="8" t="s">
        <v>23</v>
      </c>
      <c r="G65" s="9">
        <f>1/B65</f>
        <v>240</v>
      </c>
      <c r="H65" s="9" t="s">
        <v>98</v>
      </c>
    </row>
    <row r="66" spans="1:8" x14ac:dyDescent="0.35">
      <c r="A66" t="s">
        <v>6</v>
      </c>
      <c r="B66" s="5">
        <f>1/300</f>
        <v>3.3333333333333335E-3</v>
      </c>
      <c r="C66" s="4" t="s">
        <v>136</v>
      </c>
      <c r="F66" s="8" t="s">
        <v>62</v>
      </c>
      <c r="G66" s="9">
        <f>1/B66</f>
        <v>300</v>
      </c>
      <c r="H66" s="9" t="s">
        <v>139</v>
      </c>
    </row>
    <row r="67" spans="1:8" x14ac:dyDescent="0.35">
      <c r="A67" t="s">
        <v>1</v>
      </c>
      <c r="B67" s="5">
        <v>28</v>
      </c>
      <c r="C67" s="4" t="s">
        <v>128</v>
      </c>
      <c r="F67" s="8" t="s">
        <v>24</v>
      </c>
      <c r="G67" s="10">
        <f>B64/B65/B67</f>
        <v>0.8571428571428571</v>
      </c>
      <c r="H67" s="9" t="s">
        <v>151</v>
      </c>
    </row>
    <row r="68" spans="1:8" x14ac:dyDescent="0.35">
      <c r="A68" t="s">
        <v>7</v>
      </c>
      <c r="B68" s="5">
        <v>80</v>
      </c>
      <c r="C68" s="4" t="s">
        <v>138</v>
      </c>
      <c r="F68" s="8"/>
      <c r="G68" s="10"/>
      <c r="H68" s="9"/>
    </row>
    <row r="69" spans="1:8" x14ac:dyDescent="0.35">
      <c r="A69" t="s">
        <v>87</v>
      </c>
      <c r="B69" s="12">
        <f>ErwErlangC_ENQ(B64,B65,B66,B67,B68)</f>
        <v>0.68332618383583621</v>
      </c>
      <c r="C69" s="4" t="s">
        <v>124</v>
      </c>
    </row>
    <row r="72" spans="1:8" ht="17" x14ac:dyDescent="0.4">
      <c r="A72" s="26" t="s">
        <v>107</v>
      </c>
      <c r="B72" s="26"/>
      <c r="C72" s="26"/>
      <c r="D72" s="26"/>
      <c r="E72" s="26"/>
      <c r="F72" s="26"/>
      <c r="G72" s="26"/>
      <c r="H72" s="26"/>
    </row>
    <row r="74" spans="1:8" x14ac:dyDescent="0.35">
      <c r="A74" s="3" t="s">
        <v>68</v>
      </c>
    </row>
    <row r="75" spans="1:8" x14ac:dyDescent="0.35">
      <c r="A75" t="s">
        <v>113</v>
      </c>
    </row>
    <row r="76" spans="1:8" x14ac:dyDescent="0.35">
      <c r="A76" t="s">
        <v>143</v>
      </c>
    </row>
    <row r="77" spans="1:8" x14ac:dyDescent="0.35">
      <c r="A77" t="s">
        <v>144</v>
      </c>
    </row>
    <row r="79" spans="1:8" x14ac:dyDescent="0.35">
      <c r="A79" t="s">
        <v>3</v>
      </c>
      <c r="B79" s="5">
        <f>1/10</f>
        <v>0.1</v>
      </c>
      <c r="C79" s="4" t="s">
        <v>95</v>
      </c>
      <c r="F79" s="8" t="s">
        <v>22</v>
      </c>
      <c r="G79" s="9">
        <f>1/B79</f>
        <v>10</v>
      </c>
      <c r="H79" s="9" t="s">
        <v>97</v>
      </c>
    </row>
    <row r="80" spans="1:8" x14ac:dyDescent="0.35">
      <c r="A80" t="s">
        <v>4</v>
      </c>
      <c r="B80" s="5">
        <f>1/240</f>
        <v>4.1666666666666666E-3</v>
      </c>
      <c r="C80" s="4" t="s">
        <v>96</v>
      </c>
      <c r="F80" s="8" t="s">
        <v>23</v>
      </c>
      <c r="G80" s="9">
        <f>1/B80</f>
        <v>240</v>
      </c>
      <c r="H80" s="9" t="s">
        <v>98</v>
      </c>
    </row>
    <row r="81" spans="1:8" x14ac:dyDescent="0.35">
      <c r="A81" t="s">
        <v>6</v>
      </c>
      <c r="B81" s="5">
        <f>1/300</f>
        <v>3.3333333333333335E-3</v>
      </c>
      <c r="C81" s="4" t="s">
        <v>136</v>
      </c>
      <c r="F81" s="8" t="s">
        <v>62</v>
      </c>
      <c r="G81" s="9">
        <f>1/B81</f>
        <v>300</v>
      </c>
      <c r="H81" s="9" t="s">
        <v>139</v>
      </c>
    </row>
    <row r="82" spans="1:8" x14ac:dyDescent="0.35">
      <c r="A82" t="s">
        <v>1</v>
      </c>
      <c r="B82" s="5">
        <v>28</v>
      </c>
      <c r="C82" s="4" t="s">
        <v>128</v>
      </c>
      <c r="F82" s="8" t="s">
        <v>24</v>
      </c>
      <c r="G82" s="10">
        <f>B79/B80/B82</f>
        <v>0.8571428571428571</v>
      </c>
      <c r="H82" s="9" t="s">
        <v>151</v>
      </c>
    </row>
    <row r="83" spans="1:8" x14ac:dyDescent="0.35">
      <c r="A83" t="s">
        <v>7</v>
      </c>
      <c r="B83" s="5">
        <v>80</v>
      </c>
      <c r="C83" s="4" t="s">
        <v>138</v>
      </c>
      <c r="F83" s="8"/>
      <c r="G83" s="10"/>
      <c r="H83" s="9"/>
    </row>
    <row r="84" spans="1:8" x14ac:dyDescent="0.35">
      <c r="A84" t="s">
        <v>87</v>
      </c>
      <c r="B84" s="12">
        <f>ErwErlangC_EN(B79,B80,B81,B82,B83)</f>
        <v>24.136665236767172</v>
      </c>
      <c r="C84" s="4" t="s">
        <v>125</v>
      </c>
    </row>
    <row r="87" spans="1:8" ht="17" x14ac:dyDescent="0.4">
      <c r="A87" s="26" t="s">
        <v>108</v>
      </c>
      <c r="B87" s="26"/>
      <c r="C87" s="26"/>
      <c r="D87" s="26"/>
      <c r="E87" s="26"/>
      <c r="F87" s="26"/>
      <c r="G87" s="26"/>
      <c r="H87" s="26"/>
    </row>
    <row r="89" spans="1:8" x14ac:dyDescent="0.35">
      <c r="A89" s="3" t="s">
        <v>69</v>
      </c>
    </row>
    <row r="90" spans="1:8" x14ac:dyDescent="0.35">
      <c r="A90" t="s">
        <v>114</v>
      </c>
    </row>
    <row r="91" spans="1:8" x14ac:dyDescent="0.35">
      <c r="A91" t="s">
        <v>143</v>
      </c>
    </row>
    <row r="92" spans="1:8" x14ac:dyDescent="0.35">
      <c r="A92" t="s">
        <v>144</v>
      </c>
    </row>
    <row r="94" spans="1:8" x14ac:dyDescent="0.35">
      <c r="A94" t="s">
        <v>3</v>
      </c>
      <c r="B94" s="5">
        <f>1/10</f>
        <v>0.1</v>
      </c>
      <c r="C94" s="4" t="s">
        <v>95</v>
      </c>
      <c r="F94" s="8" t="s">
        <v>22</v>
      </c>
      <c r="G94" s="9">
        <f>1/B94</f>
        <v>10</v>
      </c>
      <c r="H94" s="9" t="s">
        <v>97</v>
      </c>
    </row>
    <row r="95" spans="1:8" x14ac:dyDescent="0.35">
      <c r="A95" t="s">
        <v>4</v>
      </c>
      <c r="B95" s="5">
        <f>1/240</f>
        <v>4.1666666666666666E-3</v>
      </c>
      <c r="C95" s="4" t="s">
        <v>96</v>
      </c>
      <c r="F95" s="8" t="s">
        <v>23</v>
      </c>
      <c r="G95" s="9">
        <f>1/B95</f>
        <v>240</v>
      </c>
      <c r="H95" s="9" t="s">
        <v>98</v>
      </c>
    </row>
    <row r="96" spans="1:8" x14ac:dyDescent="0.35">
      <c r="A96" t="s">
        <v>6</v>
      </c>
      <c r="B96" s="5">
        <f>1/300</f>
        <v>3.3333333333333335E-3</v>
      </c>
      <c r="C96" s="4" t="s">
        <v>136</v>
      </c>
      <c r="F96" s="8" t="s">
        <v>62</v>
      </c>
      <c r="G96" s="9">
        <f>1/B96</f>
        <v>300</v>
      </c>
      <c r="H96" s="9" t="s">
        <v>139</v>
      </c>
    </row>
    <row r="97" spans="1:8" x14ac:dyDescent="0.35">
      <c r="A97" t="s">
        <v>1</v>
      </c>
      <c r="B97" s="5">
        <v>28</v>
      </c>
      <c r="C97" s="4" t="s">
        <v>128</v>
      </c>
      <c r="F97" s="8" t="s">
        <v>24</v>
      </c>
      <c r="G97" s="10">
        <f>B94/B95/B97</f>
        <v>0.8571428571428571</v>
      </c>
      <c r="H97" s="9" t="s">
        <v>151</v>
      </c>
    </row>
    <row r="98" spans="1:8" x14ac:dyDescent="0.35">
      <c r="A98" t="s">
        <v>7</v>
      </c>
      <c r="B98" s="5">
        <v>80</v>
      </c>
      <c r="C98" s="4" t="s">
        <v>138</v>
      </c>
      <c r="F98" s="8"/>
      <c r="G98" s="10"/>
      <c r="H98" s="9"/>
    </row>
    <row r="99" spans="1:8" x14ac:dyDescent="0.35">
      <c r="A99" t="s">
        <v>87</v>
      </c>
      <c r="B99" s="12">
        <f>ErwErlangC_EW(B94,B95,B96,B97,B98)</f>
        <v>6.8332618383583617</v>
      </c>
      <c r="C99" s="4" t="s">
        <v>126</v>
      </c>
    </row>
    <row r="100" spans="1:8" x14ac:dyDescent="0.35">
      <c r="C100" s="4"/>
    </row>
    <row r="101" spans="1:8" x14ac:dyDescent="0.35">
      <c r="A101" t="s">
        <v>148</v>
      </c>
      <c r="C101" s="4"/>
    </row>
    <row r="103" spans="1:8" ht="17" x14ac:dyDescent="0.4">
      <c r="A103" s="26" t="s">
        <v>109</v>
      </c>
      <c r="B103" s="26"/>
      <c r="C103" s="26"/>
      <c r="D103" s="26"/>
      <c r="E103" s="26"/>
      <c r="F103" s="26"/>
      <c r="G103" s="26"/>
      <c r="H103" s="26"/>
    </row>
    <row r="105" spans="1:8" x14ac:dyDescent="0.35">
      <c r="A105" s="3" t="s">
        <v>70</v>
      </c>
    </row>
    <row r="106" spans="1:8" x14ac:dyDescent="0.35">
      <c r="A106" t="s">
        <v>115</v>
      </c>
    </row>
    <row r="107" spans="1:8" x14ac:dyDescent="0.35">
      <c r="A107" t="s">
        <v>143</v>
      </c>
    </row>
    <row r="108" spans="1:8" x14ac:dyDescent="0.35">
      <c r="A108" t="s">
        <v>144</v>
      </c>
    </row>
    <row r="110" spans="1:8" x14ac:dyDescent="0.35">
      <c r="A110" t="s">
        <v>3</v>
      </c>
      <c r="B110" s="5">
        <f>1/10</f>
        <v>0.1</v>
      </c>
      <c r="C110" s="4" t="s">
        <v>95</v>
      </c>
      <c r="F110" s="8" t="s">
        <v>22</v>
      </c>
      <c r="G110" s="9">
        <f>1/B110</f>
        <v>10</v>
      </c>
      <c r="H110" s="9" t="s">
        <v>97</v>
      </c>
    </row>
    <row r="111" spans="1:8" x14ac:dyDescent="0.35">
      <c r="A111" t="s">
        <v>4</v>
      </c>
      <c r="B111" s="5">
        <f>1/240</f>
        <v>4.1666666666666666E-3</v>
      </c>
      <c r="C111" s="4" t="s">
        <v>96</v>
      </c>
      <c r="F111" s="8" t="s">
        <v>23</v>
      </c>
      <c r="G111" s="9">
        <f>1/B111</f>
        <v>240</v>
      </c>
      <c r="H111" s="9" t="s">
        <v>98</v>
      </c>
    </row>
    <row r="112" spans="1:8" x14ac:dyDescent="0.35">
      <c r="A112" t="s">
        <v>6</v>
      </c>
      <c r="B112" s="5">
        <f>1/300</f>
        <v>3.3333333333333335E-3</v>
      </c>
      <c r="C112" s="4" t="s">
        <v>136</v>
      </c>
      <c r="F112" s="8" t="s">
        <v>62</v>
      </c>
      <c r="G112" s="9">
        <f>1/B112</f>
        <v>300</v>
      </c>
      <c r="H112" s="9" t="s">
        <v>139</v>
      </c>
    </row>
    <row r="113" spans="1:8" x14ac:dyDescent="0.35">
      <c r="A113" t="s">
        <v>1</v>
      </c>
      <c r="B113" s="5">
        <v>28</v>
      </c>
      <c r="C113" s="4" t="s">
        <v>128</v>
      </c>
      <c r="F113" s="8" t="s">
        <v>24</v>
      </c>
      <c r="G113" s="10">
        <f>B110/B111/B113</f>
        <v>0.8571428571428571</v>
      </c>
      <c r="H113" s="9" t="s">
        <v>151</v>
      </c>
    </row>
    <row r="114" spans="1:8" x14ac:dyDescent="0.35">
      <c r="A114" t="s">
        <v>7</v>
      </c>
      <c r="B114" s="5">
        <v>80</v>
      </c>
      <c r="C114" s="4" t="s">
        <v>138</v>
      </c>
      <c r="F114" s="8"/>
      <c r="G114" s="10"/>
      <c r="H114" s="9"/>
    </row>
    <row r="115" spans="1:8" x14ac:dyDescent="0.35">
      <c r="A115" t="s">
        <v>87</v>
      </c>
      <c r="B115" s="12">
        <f>ErwErlangC_EV(B110,B111,B112,B113,B114)</f>
        <v>241.36665236767172</v>
      </c>
      <c r="C115" s="4" t="s">
        <v>127</v>
      </c>
    </row>
    <row r="117" spans="1:8" x14ac:dyDescent="0.35">
      <c r="A117" t="s">
        <v>148</v>
      </c>
    </row>
  </sheetData>
  <mergeCells count="8">
    <mergeCell ref="A87:H87"/>
    <mergeCell ref="A103:H103"/>
    <mergeCell ref="A1:H1"/>
    <mergeCell ref="A10:H10"/>
    <mergeCell ref="A26:H26"/>
    <mergeCell ref="A42:H42"/>
    <mergeCell ref="A57:H57"/>
    <mergeCell ref="A72:H72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H117"/>
  <sheetViews>
    <sheetView workbookViewId="0">
      <selection sqref="A1:H1"/>
    </sheetView>
  </sheetViews>
  <sheetFormatPr baseColWidth="10" defaultRowHeight="14.5" x14ac:dyDescent="0.35"/>
  <cols>
    <col min="1" max="1" width="8.453125" customWidth="1"/>
    <col min="2" max="2" width="7" customWidth="1"/>
    <col min="5" max="5" width="5.54296875" customWidth="1"/>
    <col min="6" max="6" width="7" customWidth="1"/>
    <col min="7" max="7" width="4.54296875" customWidth="1"/>
    <col min="8" max="8" width="29.81640625" customWidth="1"/>
  </cols>
  <sheetData>
    <row r="1" spans="1:8" ht="21" x14ac:dyDescent="0.5">
      <c r="A1" s="27" t="s">
        <v>154</v>
      </c>
      <c r="B1" s="27"/>
      <c r="C1" s="27"/>
      <c r="D1" s="27"/>
      <c r="E1" s="27"/>
      <c r="F1" s="27"/>
      <c r="G1" s="27"/>
      <c r="H1" s="27"/>
    </row>
    <row r="3" spans="1:8" x14ac:dyDescent="0.35">
      <c r="A3" t="s">
        <v>33</v>
      </c>
    </row>
    <row r="4" spans="1:8" x14ac:dyDescent="0.35">
      <c r="A4" t="s">
        <v>34</v>
      </c>
    </row>
    <row r="5" spans="1:8" x14ac:dyDescent="0.35">
      <c r="A5" t="s">
        <v>56</v>
      </c>
    </row>
    <row r="6" spans="1:8" x14ac:dyDescent="0.35">
      <c r="A6" s="7" t="s">
        <v>118</v>
      </c>
    </row>
    <row r="7" spans="1:8" x14ac:dyDescent="0.35">
      <c r="A7" t="s">
        <v>142</v>
      </c>
    </row>
    <row r="10" spans="1:8" ht="20" x14ac:dyDescent="0.55000000000000004">
      <c r="A10" s="26" t="s">
        <v>12</v>
      </c>
      <c r="B10" s="26"/>
      <c r="C10" s="26"/>
      <c r="D10" s="26"/>
      <c r="E10" s="26"/>
      <c r="F10" s="26"/>
      <c r="G10" s="26"/>
      <c r="H10" s="26"/>
    </row>
    <row r="11" spans="1:8" x14ac:dyDescent="0.35">
      <c r="A11" s="2"/>
    </row>
    <row r="12" spans="1:8" x14ac:dyDescent="0.35">
      <c r="A12" s="3" t="s">
        <v>57</v>
      </c>
    </row>
    <row r="13" spans="1:8" x14ac:dyDescent="0.35">
      <c r="A13" t="s">
        <v>86</v>
      </c>
    </row>
    <row r="14" spans="1:8" x14ac:dyDescent="0.35">
      <c r="A14" t="s">
        <v>65</v>
      </c>
    </row>
    <row r="15" spans="1:8" x14ac:dyDescent="0.35">
      <c r="A15" t="s">
        <v>145</v>
      </c>
    </row>
    <row r="17" spans="1:8" x14ac:dyDescent="0.35">
      <c r="A17" t="s">
        <v>3</v>
      </c>
      <c r="B17" s="5">
        <f>1/10</f>
        <v>0.1</v>
      </c>
      <c r="C17" s="4" t="s">
        <v>19</v>
      </c>
      <c r="F17" s="8" t="s">
        <v>22</v>
      </c>
      <c r="G17" s="9">
        <f>1/B17</f>
        <v>10</v>
      </c>
      <c r="H17" s="9" t="s">
        <v>26</v>
      </c>
    </row>
    <row r="18" spans="1:8" x14ac:dyDescent="0.35">
      <c r="A18" t="s">
        <v>4</v>
      </c>
      <c r="B18" s="5">
        <f>1/240</f>
        <v>4.1666666666666666E-3</v>
      </c>
      <c r="C18" s="4" t="s">
        <v>20</v>
      </c>
      <c r="F18" s="8" t="s">
        <v>23</v>
      </c>
      <c r="G18" s="9">
        <f>1/B18</f>
        <v>240</v>
      </c>
      <c r="H18" s="9" t="s">
        <v>27</v>
      </c>
    </row>
    <row r="19" spans="1:8" x14ac:dyDescent="0.35">
      <c r="A19" t="s">
        <v>6</v>
      </c>
      <c r="B19" s="5">
        <f>1/300</f>
        <v>3.3333333333333335E-3</v>
      </c>
      <c r="C19" s="4" t="s">
        <v>137</v>
      </c>
      <c r="F19" s="8" t="s">
        <v>62</v>
      </c>
      <c r="G19" s="9">
        <f>1/B19</f>
        <v>300</v>
      </c>
      <c r="H19" s="9" t="s">
        <v>58</v>
      </c>
    </row>
    <row r="20" spans="1:8" x14ac:dyDescent="0.35">
      <c r="A20" t="s">
        <v>1</v>
      </c>
      <c r="B20" s="5">
        <v>28</v>
      </c>
      <c r="C20" s="4" t="s">
        <v>120</v>
      </c>
      <c r="F20" s="8" t="s">
        <v>24</v>
      </c>
      <c r="G20" s="10">
        <f>B17/B18/B20</f>
        <v>0.8571428571428571</v>
      </c>
      <c r="H20" s="9" t="s">
        <v>140</v>
      </c>
    </row>
    <row r="21" spans="1:8" x14ac:dyDescent="0.35">
      <c r="A21" t="s">
        <v>7</v>
      </c>
      <c r="B21" s="5">
        <v>80</v>
      </c>
      <c r="C21" s="4" t="s">
        <v>59</v>
      </c>
      <c r="F21" s="8"/>
      <c r="G21" s="10"/>
      <c r="H21" s="9"/>
    </row>
    <row r="22" spans="1:8" x14ac:dyDescent="0.35">
      <c r="A22" t="s">
        <v>2</v>
      </c>
      <c r="B22" s="5">
        <v>30</v>
      </c>
      <c r="C22" s="4" t="s">
        <v>15</v>
      </c>
    </row>
    <row r="23" spans="1:8" x14ac:dyDescent="0.35">
      <c r="A23" t="s">
        <v>18</v>
      </c>
      <c r="B23" s="6">
        <f>MMcKMZustandsP(B17,B18,B19,B20,B21,B22)</f>
        <v>3.6550867161883591E-2</v>
      </c>
      <c r="C23" s="4" t="s">
        <v>17</v>
      </c>
    </row>
    <row r="24" spans="1:8" x14ac:dyDescent="0.35">
      <c r="B24" s="1"/>
      <c r="C24" s="4"/>
    </row>
    <row r="26" spans="1:8" ht="17" x14ac:dyDescent="0.4">
      <c r="A26" s="26" t="s">
        <v>61</v>
      </c>
      <c r="B26" s="26"/>
      <c r="C26" s="26"/>
      <c r="D26" s="26"/>
      <c r="E26" s="26"/>
      <c r="F26" s="26"/>
      <c r="G26" s="26"/>
      <c r="H26" s="26"/>
    </row>
    <row r="28" spans="1:8" x14ac:dyDescent="0.35">
      <c r="A28" s="3" t="s">
        <v>60</v>
      </c>
    </row>
    <row r="29" spans="1:8" x14ac:dyDescent="0.35">
      <c r="A29" t="s">
        <v>93</v>
      </c>
    </row>
    <row r="30" spans="1:8" x14ac:dyDescent="0.35">
      <c r="A30" t="s">
        <v>65</v>
      </c>
    </row>
    <row r="31" spans="1:8" x14ac:dyDescent="0.35">
      <c r="A31" t="s">
        <v>145</v>
      </c>
    </row>
    <row r="33" spans="1:8" x14ac:dyDescent="0.35">
      <c r="A33" t="s">
        <v>3</v>
      </c>
      <c r="B33" s="5">
        <f>1/10</f>
        <v>0.1</v>
      </c>
      <c r="C33" s="4" t="s">
        <v>19</v>
      </c>
      <c r="F33" s="8" t="s">
        <v>22</v>
      </c>
      <c r="G33" s="9">
        <f>1/B33</f>
        <v>10</v>
      </c>
      <c r="H33" s="9" t="s">
        <v>26</v>
      </c>
    </row>
    <row r="34" spans="1:8" x14ac:dyDescent="0.35">
      <c r="A34" t="s">
        <v>4</v>
      </c>
      <c r="B34" s="5">
        <f>1/240</f>
        <v>4.1666666666666666E-3</v>
      </c>
      <c r="C34" s="4" t="s">
        <v>20</v>
      </c>
      <c r="F34" s="8" t="s">
        <v>23</v>
      </c>
      <c r="G34" s="9">
        <f>1/B34</f>
        <v>240</v>
      </c>
      <c r="H34" s="9" t="s">
        <v>27</v>
      </c>
    </row>
    <row r="35" spans="1:8" x14ac:dyDescent="0.35">
      <c r="A35" t="s">
        <v>6</v>
      </c>
      <c r="B35" s="5">
        <f>1/300</f>
        <v>3.3333333333333335E-3</v>
      </c>
      <c r="C35" s="4" t="s">
        <v>137</v>
      </c>
      <c r="F35" s="8" t="s">
        <v>62</v>
      </c>
      <c r="G35" s="9">
        <f>1/B35</f>
        <v>300</v>
      </c>
      <c r="H35" s="9" t="s">
        <v>58</v>
      </c>
    </row>
    <row r="36" spans="1:8" x14ac:dyDescent="0.35">
      <c r="A36" t="s">
        <v>1</v>
      </c>
      <c r="B36" s="5">
        <v>28</v>
      </c>
      <c r="C36" s="4" t="s">
        <v>120</v>
      </c>
      <c r="F36" s="8" t="s">
        <v>24</v>
      </c>
      <c r="G36" s="10">
        <f>B33/B34/B36</f>
        <v>0.8571428571428571</v>
      </c>
      <c r="H36" s="9" t="s">
        <v>140</v>
      </c>
    </row>
    <row r="37" spans="1:8" x14ac:dyDescent="0.35">
      <c r="A37" t="s">
        <v>7</v>
      </c>
      <c r="B37" s="5">
        <v>80</v>
      </c>
      <c r="C37" s="4" t="s">
        <v>59</v>
      </c>
      <c r="F37" s="8"/>
      <c r="G37" s="10"/>
      <c r="H37" s="9"/>
    </row>
    <row r="38" spans="1:8" x14ac:dyDescent="0.35">
      <c r="A38" t="s">
        <v>5</v>
      </c>
      <c r="B38" s="5">
        <v>20</v>
      </c>
      <c r="C38" s="4" t="s">
        <v>42</v>
      </c>
    </row>
    <row r="39" spans="1:8" x14ac:dyDescent="0.35">
      <c r="A39" t="s">
        <v>18</v>
      </c>
      <c r="B39" s="6">
        <f>ErwErlangC(B33,B34,B35,B36,B37,B38)</f>
        <v>0.86337219568430634</v>
      </c>
      <c r="C39" s="4" t="s">
        <v>21</v>
      </c>
    </row>
    <row r="42" spans="1:8" ht="17" x14ac:dyDescent="0.4">
      <c r="A42" s="26" t="s">
        <v>63</v>
      </c>
      <c r="B42" s="26"/>
      <c r="C42" s="26"/>
      <c r="D42" s="26"/>
      <c r="E42" s="26"/>
      <c r="F42" s="26"/>
      <c r="G42" s="26"/>
      <c r="H42" s="26"/>
    </row>
    <row r="44" spans="1:8" x14ac:dyDescent="0.35">
      <c r="A44" s="3" t="s">
        <v>64</v>
      </c>
    </row>
    <row r="45" spans="1:8" x14ac:dyDescent="0.35">
      <c r="A45" t="s">
        <v>134</v>
      </c>
    </row>
    <row r="46" spans="1:8" x14ac:dyDescent="0.35">
      <c r="A46" t="s">
        <v>65</v>
      </c>
    </row>
    <row r="47" spans="1:8" x14ac:dyDescent="0.35">
      <c r="A47" t="s">
        <v>145</v>
      </c>
    </row>
    <row r="49" spans="1:8" x14ac:dyDescent="0.35">
      <c r="A49" t="s">
        <v>3</v>
      </c>
      <c r="B49" s="5">
        <f>1/10</f>
        <v>0.1</v>
      </c>
      <c r="C49" s="4" t="s">
        <v>19</v>
      </c>
      <c r="F49" s="8" t="s">
        <v>22</v>
      </c>
      <c r="G49" s="9">
        <f>1/B49</f>
        <v>10</v>
      </c>
      <c r="H49" s="9" t="s">
        <v>26</v>
      </c>
    </row>
    <row r="50" spans="1:8" x14ac:dyDescent="0.35">
      <c r="A50" t="s">
        <v>4</v>
      </c>
      <c r="B50" s="5">
        <f>1/240</f>
        <v>4.1666666666666666E-3</v>
      </c>
      <c r="C50" s="4" t="s">
        <v>20</v>
      </c>
      <c r="F50" s="8" t="s">
        <v>23</v>
      </c>
      <c r="G50" s="9">
        <f>1/B50</f>
        <v>240</v>
      </c>
      <c r="H50" s="9" t="s">
        <v>27</v>
      </c>
    </row>
    <row r="51" spans="1:8" x14ac:dyDescent="0.35">
      <c r="A51" t="s">
        <v>6</v>
      </c>
      <c r="B51" s="5">
        <f>1/30</f>
        <v>3.3333333333333333E-2</v>
      </c>
      <c r="C51" s="4" t="s">
        <v>137</v>
      </c>
      <c r="F51" s="8" t="s">
        <v>62</v>
      </c>
      <c r="G51" s="9">
        <f>1/B51</f>
        <v>30</v>
      </c>
      <c r="H51" s="9" t="s">
        <v>58</v>
      </c>
    </row>
    <row r="52" spans="1:8" x14ac:dyDescent="0.35">
      <c r="A52" t="s">
        <v>1</v>
      </c>
      <c r="B52" s="5">
        <v>25</v>
      </c>
      <c r="C52" s="4" t="s">
        <v>120</v>
      </c>
      <c r="F52" s="8" t="s">
        <v>24</v>
      </c>
      <c r="G52" s="10">
        <f>B49/B50/B52</f>
        <v>0.96</v>
      </c>
      <c r="H52" s="9" t="s">
        <v>140</v>
      </c>
    </row>
    <row r="53" spans="1:8" x14ac:dyDescent="0.35">
      <c r="A53" t="s">
        <v>7</v>
      </c>
      <c r="B53" s="5">
        <v>80</v>
      </c>
      <c r="C53" s="4" t="s">
        <v>59</v>
      </c>
      <c r="F53" s="8"/>
      <c r="G53" s="10"/>
      <c r="H53" s="9"/>
    </row>
    <row r="54" spans="1:8" x14ac:dyDescent="0.35">
      <c r="A54" t="s">
        <v>18</v>
      </c>
      <c r="B54" s="6">
        <f>ErwErlangC_PA(B49,B50,B51,B52,B53)</f>
        <v>9.7590815625468189E-2</v>
      </c>
      <c r="C54" s="4" t="s">
        <v>66</v>
      </c>
    </row>
    <row r="57" spans="1:8" ht="20" x14ac:dyDescent="0.55000000000000004">
      <c r="A57" s="26" t="s">
        <v>29</v>
      </c>
      <c r="B57" s="26"/>
      <c r="C57" s="26"/>
      <c r="D57" s="26"/>
      <c r="E57" s="26"/>
      <c r="F57" s="26"/>
      <c r="G57" s="26"/>
      <c r="H57" s="26"/>
    </row>
    <row r="59" spans="1:8" x14ac:dyDescent="0.35">
      <c r="A59" s="3" t="s">
        <v>67</v>
      </c>
    </row>
    <row r="60" spans="1:8" x14ac:dyDescent="0.35">
      <c r="A60" t="s">
        <v>104</v>
      </c>
    </row>
    <row r="61" spans="1:8" x14ac:dyDescent="0.35">
      <c r="A61" t="s">
        <v>65</v>
      </c>
    </row>
    <row r="62" spans="1:8" x14ac:dyDescent="0.35">
      <c r="A62" t="s">
        <v>145</v>
      </c>
    </row>
    <row r="64" spans="1:8" x14ac:dyDescent="0.35">
      <c r="A64" t="s">
        <v>3</v>
      </c>
      <c r="B64" s="5">
        <f>1/10</f>
        <v>0.1</v>
      </c>
      <c r="C64" s="4" t="s">
        <v>19</v>
      </c>
      <c r="F64" s="8" t="s">
        <v>22</v>
      </c>
      <c r="G64" s="9">
        <f>1/B64</f>
        <v>10</v>
      </c>
      <c r="H64" s="9" t="s">
        <v>26</v>
      </c>
    </row>
    <row r="65" spans="1:8" x14ac:dyDescent="0.35">
      <c r="A65" t="s">
        <v>4</v>
      </c>
      <c r="B65" s="5">
        <f>1/240</f>
        <v>4.1666666666666666E-3</v>
      </c>
      <c r="C65" s="4" t="s">
        <v>20</v>
      </c>
      <c r="F65" s="8" t="s">
        <v>23</v>
      </c>
      <c r="G65" s="9">
        <f>1/B65</f>
        <v>240</v>
      </c>
      <c r="H65" s="9" t="s">
        <v>27</v>
      </c>
    </row>
    <row r="66" spans="1:8" x14ac:dyDescent="0.35">
      <c r="A66" t="s">
        <v>6</v>
      </c>
      <c r="B66" s="5">
        <f>1/300</f>
        <v>3.3333333333333335E-3</v>
      </c>
      <c r="C66" s="4" t="s">
        <v>137</v>
      </c>
      <c r="F66" s="8" t="s">
        <v>62</v>
      </c>
      <c r="G66" s="9">
        <f>1/B66</f>
        <v>300</v>
      </c>
      <c r="H66" s="9" t="s">
        <v>58</v>
      </c>
    </row>
    <row r="67" spans="1:8" x14ac:dyDescent="0.35">
      <c r="A67" t="s">
        <v>1</v>
      </c>
      <c r="B67" s="5">
        <v>28</v>
      </c>
      <c r="C67" s="4" t="s">
        <v>120</v>
      </c>
      <c r="F67" s="8" t="s">
        <v>24</v>
      </c>
      <c r="G67" s="10">
        <f>B64/B65/B67</f>
        <v>0.8571428571428571</v>
      </c>
      <c r="H67" s="9" t="s">
        <v>140</v>
      </c>
    </row>
    <row r="68" spans="1:8" x14ac:dyDescent="0.35">
      <c r="A68" t="s">
        <v>7</v>
      </c>
      <c r="B68" s="5">
        <v>80</v>
      </c>
      <c r="C68" s="4" t="s">
        <v>59</v>
      </c>
      <c r="F68" s="8"/>
      <c r="G68" s="10"/>
      <c r="H68" s="9"/>
    </row>
    <row r="69" spans="1:8" x14ac:dyDescent="0.35">
      <c r="A69" t="s">
        <v>18</v>
      </c>
      <c r="B69" s="12">
        <f>ErwErlangC_ENQ(B64,B65,B66,B67,B68)</f>
        <v>0.68332618383583621</v>
      </c>
      <c r="C69" s="4" t="s">
        <v>39</v>
      </c>
    </row>
    <row r="72" spans="1:8" ht="17" x14ac:dyDescent="0.4">
      <c r="A72" s="26" t="s">
        <v>30</v>
      </c>
      <c r="B72" s="26"/>
      <c r="C72" s="26"/>
      <c r="D72" s="26"/>
      <c r="E72" s="26"/>
      <c r="F72" s="26"/>
      <c r="G72" s="26"/>
      <c r="H72" s="26"/>
    </row>
    <row r="74" spans="1:8" x14ac:dyDescent="0.35">
      <c r="A74" s="3" t="s">
        <v>68</v>
      </c>
    </row>
    <row r="75" spans="1:8" x14ac:dyDescent="0.35">
      <c r="A75" t="s">
        <v>110</v>
      </c>
    </row>
    <row r="76" spans="1:8" x14ac:dyDescent="0.35">
      <c r="A76" t="s">
        <v>65</v>
      </c>
    </row>
    <row r="77" spans="1:8" x14ac:dyDescent="0.35">
      <c r="A77" t="s">
        <v>145</v>
      </c>
    </row>
    <row r="79" spans="1:8" x14ac:dyDescent="0.35">
      <c r="A79" t="s">
        <v>3</v>
      </c>
      <c r="B79" s="5">
        <f>1/10</f>
        <v>0.1</v>
      </c>
      <c r="C79" s="4" t="s">
        <v>19</v>
      </c>
      <c r="F79" s="8" t="s">
        <v>22</v>
      </c>
      <c r="G79" s="9">
        <f>1/B79</f>
        <v>10</v>
      </c>
      <c r="H79" s="9" t="s">
        <v>26</v>
      </c>
    </row>
    <row r="80" spans="1:8" x14ac:dyDescent="0.35">
      <c r="A80" t="s">
        <v>4</v>
      </c>
      <c r="B80" s="5">
        <f>1/240</f>
        <v>4.1666666666666666E-3</v>
      </c>
      <c r="C80" s="4" t="s">
        <v>20</v>
      </c>
      <c r="F80" s="8" t="s">
        <v>23</v>
      </c>
      <c r="G80" s="9">
        <f>1/B80</f>
        <v>240</v>
      </c>
      <c r="H80" s="9" t="s">
        <v>27</v>
      </c>
    </row>
    <row r="81" spans="1:8" x14ac:dyDescent="0.35">
      <c r="A81" t="s">
        <v>6</v>
      </c>
      <c r="B81" s="5">
        <f>1/300</f>
        <v>3.3333333333333335E-3</v>
      </c>
      <c r="C81" s="4" t="s">
        <v>137</v>
      </c>
      <c r="F81" s="8" t="s">
        <v>62</v>
      </c>
      <c r="G81" s="9">
        <f>1/B81</f>
        <v>300</v>
      </c>
      <c r="H81" s="9" t="s">
        <v>58</v>
      </c>
    </row>
    <row r="82" spans="1:8" x14ac:dyDescent="0.35">
      <c r="A82" t="s">
        <v>1</v>
      </c>
      <c r="B82" s="5">
        <v>28</v>
      </c>
      <c r="C82" s="4" t="s">
        <v>120</v>
      </c>
      <c r="F82" s="8" t="s">
        <v>24</v>
      </c>
      <c r="G82" s="10">
        <f>B79/B80/B82</f>
        <v>0.8571428571428571</v>
      </c>
      <c r="H82" s="9" t="s">
        <v>140</v>
      </c>
    </row>
    <row r="83" spans="1:8" x14ac:dyDescent="0.35">
      <c r="A83" t="s">
        <v>7</v>
      </c>
      <c r="B83" s="5">
        <v>80</v>
      </c>
      <c r="C83" s="4" t="s">
        <v>59</v>
      </c>
      <c r="F83" s="8"/>
      <c r="G83" s="10"/>
      <c r="H83" s="9"/>
    </row>
    <row r="84" spans="1:8" x14ac:dyDescent="0.35">
      <c r="A84" t="s">
        <v>18</v>
      </c>
      <c r="B84" s="12">
        <f>ErwErlangC_EN(B79,B80,B81,B82,B83)</f>
        <v>24.136665236767172</v>
      </c>
      <c r="C84" s="4" t="s">
        <v>40</v>
      </c>
    </row>
    <row r="87" spans="1:8" ht="17" x14ac:dyDescent="0.4">
      <c r="A87" s="26" t="s">
        <v>32</v>
      </c>
      <c r="B87" s="26"/>
      <c r="C87" s="26"/>
      <c r="D87" s="26"/>
      <c r="E87" s="26"/>
      <c r="F87" s="26"/>
      <c r="G87" s="26"/>
      <c r="H87" s="26"/>
    </row>
    <row r="89" spans="1:8" x14ac:dyDescent="0.35">
      <c r="A89" s="3" t="s">
        <v>69</v>
      </c>
    </row>
    <row r="90" spans="1:8" x14ac:dyDescent="0.35">
      <c r="A90" t="s">
        <v>111</v>
      </c>
    </row>
    <row r="91" spans="1:8" x14ac:dyDescent="0.35">
      <c r="A91" t="s">
        <v>65</v>
      </c>
    </row>
    <row r="92" spans="1:8" x14ac:dyDescent="0.35">
      <c r="A92" t="s">
        <v>145</v>
      </c>
    </row>
    <row r="94" spans="1:8" x14ac:dyDescent="0.35">
      <c r="A94" t="s">
        <v>3</v>
      </c>
      <c r="B94" s="5">
        <f>1/10</f>
        <v>0.1</v>
      </c>
      <c r="C94" s="4" t="s">
        <v>19</v>
      </c>
      <c r="F94" s="8" t="s">
        <v>22</v>
      </c>
      <c r="G94" s="9">
        <f>1/B94</f>
        <v>10</v>
      </c>
      <c r="H94" s="9" t="s">
        <v>26</v>
      </c>
    </row>
    <row r="95" spans="1:8" x14ac:dyDescent="0.35">
      <c r="A95" t="s">
        <v>4</v>
      </c>
      <c r="B95" s="5">
        <f>1/240</f>
        <v>4.1666666666666666E-3</v>
      </c>
      <c r="C95" s="4" t="s">
        <v>20</v>
      </c>
      <c r="F95" s="8" t="s">
        <v>23</v>
      </c>
      <c r="G95" s="9">
        <f>1/B95</f>
        <v>240</v>
      </c>
      <c r="H95" s="9" t="s">
        <v>27</v>
      </c>
    </row>
    <row r="96" spans="1:8" x14ac:dyDescent="0.35">
      <c r="A96" t="s">
        <v>6</v>
      </c>
      <c r="B96" s="5">
        <f>1/300</f>
        <v>3.3333333333333335E-3</v>
      </c>
      <c r="C96" s="4" t="s">
        <v>137</v>
      </c>
      <c r="F96" s="8" t="s">
        <v>62</v>
      </c>
      <c r="G96" s="9">
        <f>1/B96</f>
        <v>300</v>
      </c>
      <c r="H96" s="9" t="s">
        <v>58</v>
      </c>
    </row>
    <row r="97" spans="1:8" x14ac:dyDescent="0.35">
      <c r="A97" t="s">
        <v>1</v>
      </c>
      <c r="B97" s="5">
        <v>28</v>
      </c>
      <c r="C97" s="4" t="s">
        <v>120</v>
      </c>
      <c r="F97" s="8" t="s">
        <v>24</v>
      </c>
      <c r="G97" s="10">
        <f>B94/B95/B97</f>
        <v>0.8571428571428571</v>
      </c>
      <c r="H97" s="9" t="s">
        <v>140</v>
      </c>
    </row>
    <row r="98" spans="1:8" x14ac:dyDescent="0.35">
      <c r="A98" t="s">
        <v>7</v>
      </c>
      <c r="B98" s="5">
        <v>80</v>
      </c>
      <c r="C98" s="4" t="s">
        <v>59</v>
      </c>
      <c r="F98" s="8"/>
      <c r="G98" s="10"/>
      <c r="H98" s="9"/>
    </row>
    <row r="99" spans="1:8" x14ac:dyDescent="0.35">
      <c r="A99" t="s">
        <v>18</v>
      </c>
      <c r="B99" s="12">
        <f>ErwErlangC_EW(B94,B95,B96,B97,B98)</f>
        <v>6.8332618383583617</v>
      </c>
      <c r="C99" s="4" t="s">
        <v>41</v>
      </c>
    </row>
    <row r="100" spans="1:8" x14ac:dyDescent="0.35">
      <c r="C100" s="4"/>
    </row>
    <row r="101" spans="1:8" x14ac:dyDescent="0.35">
      <c r="A101" t="s">
        <v>71</v>
      </c>
      <c r="C101" s="4"/>
    </row>
    <row r="103" spans="1:8" ht="17" x14ac:dyDescent="0.4">
      <c r="A103" s="26" t="s">
        <v>43</v>
      </c>
      <c r="B103" s="26"/>
      <c r="C103" s="26"/>
      <c r="D103" s="26"/>
      <c r="E103" s="26"/>
      <c r="F103" s="26"/>
      <c r="G103" s="26"/>
      <c r="H103" s="26"/>
    </row>
    <row r="105" spans="1:8" x14ac:dyDescent="0.35">
      <c r="A105" s="3" t="s">
        <v>70</v>
      </c>
    </row>
    <row r="106" spans="1:8" x14ac:dyDescent="0.35">
      <c r="A106" t="s">
        <v>112</v>
      </c>
    </row>
    <row r="107" spans="1:8" x14ac:dyDescent="0.35">
      <c r="A107" t="s">
        <v>65</v>
      </c>
    </row>
    <row r="108" spans="1:8" x14ac:dyDescent="0.35">
      <c r="A108" t="s">
        <v>145</v>
      </c>
    </row>
    <row r="110" spans="1:8" x14ac:dyDescent="0.35">
      <c r="A110" t="s">
        <v>3</v>
      </c>
      <c r="B110" s="5">
        <f>1/10</f>
        <v>0.1</v>
      </c>
      <c r="C110" s="4" t="s">
        <v>19</v>
      </c>
      <c r="F110" s="8" t="s">
        <v>22</v>
      </c>
      <c r="G110" s="9">
        <f>1/B110</f>
        <v>10</v>
      </c>
      <c r="H110" s="9" t="s">
        <v>26</v>
      </c>
    </row>
    <row r="111" spans="1:8" x14ac:dyDescent="0.35">
      <c r="A111" t="s">
        <v>4</v>
      </c>
      <c r="B111" s="5">
        <f>1/240</f>
        <v>4.1666666666666666E-3</v>
      </c>
      <c r="C111" s="4" t="s">
        <v>20</v>
      </c>
      <c r="F111" s="8" t="s">
        <v>23</v>
      </c>
      <c r="G111" s="9">
        <f>1/B111</f>
        <v>240</v>
      </c>
      <c r="H111" s="9" t="s">
        <v>27</v>
      </c>
    </row>
    <row r="112" spans="1:8" x14ac:dyDescent="0.35">
      <c r="A112" t="s">
        <v>6</v>
      </c>
      <c r="B112" s="5">
        <f>1/300</f>
        <v>3.3333333333333335E-3</v>
      </c>
      <c r="C112" s="4" t="s">
        <v>137</v>
      </c>
      <c r="F112" s="8" t="s">
        <v>62</v>
      </c>
      <c r="G112" s="9">
        <f>1/B112</f>
        <v>300</v>
      </c>
      <c r="H112" s="9" t="s">
        <v>58</v>
      </c>
    </row>
    <row r="113" spans="1:8" x14ac:dyDescent="0.35">
      <c r="A113" t="s">
        <v>1</v>
      </c>
      <c r="B113" s="5">
        <v>28</v>
      </c>
      <c r="C113" s="4" t="s">
        <v>120</v>
      </c>
      <c r="F113" s="8" t="s">
        <v>24</v>
      </c>
      <c r="G113" s="10">
        <f>B110/B111/B113</f>
        <v>0.8571428571428571</v>
      </c>
      <c r="H113" s="9" t="s">
        <v>140</v>
      </c>
    </row>
    <row r="114" spans="1:8" x14ac:dyDescent="0.35">
      <c r="A114" t="s">
        <v>7</v>
      </c>
      <c r="B114" s="5">
        <v>80</v>
      </c>
      <c r="C114" s="4" t="s">
        <v>59</v>
      </c>
      <c r="F114" s="8"/>
      <c r="G114" s="10"/>
      <c r="H114" s="9"/>
    </row>
    <row r="115" spans="1:8" x14ac:dyDescent="0.35">
      <c r="A115" t="s">
        <v>18</v>
      </c>
      <c r="B115" s="12">
        <f>ErwErlangC_EV(B110,B111,B112,B113,B114)</f>
        <v>241.36665236767172</v>
      </c>
      <c r="C115" s="4" t="s">
        <v>45</v>
      </c>
    </row>
    <row r="117" spans="1:8" x14ac:dyDescent="0.35">
      <c r="A117" t="s">
        <v>71</v>
      </c>
    </row>
  </sheetData>
  <mergeCells count="8">
    <mergeCell ref="A87:H87"/>
    <mergeCell ref="A103:H103"/>
    <mergeCell ref="A1:H1"/>
    <mergeCell ref="A10:H10"/>
    <mergeCell ref="A26:H26"/>
    <mergeCell ref="A42:H42"/>
    <mergeCell ref="A57:H57"/>
    <mergeCell ref="A72:H72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AEAA4-A904-4406-85E1-FD1F6A270237}">
  <sheetPr codeName="Tabelle6"/>
  <dimension ref="A1:H17"/>
  <sheetViews>
    <sheetView workbookViewId="0">
      <selection sqref="A1:H1"/>
    </sheetView>
  </sheetViews>
  <sheetFormatPr baseColWidth="10" defaultRowHeight="14.5" x14ac:dyDescent="0.35"/>
  <cols>
    <col min="1" max="1" width="8.453125" customWidth="1"/>
    <col min="2" max="2" width="7" customWidth="1"/>
    <col min="5" max="5" width="5.54296875" customWidth="1"/>
    <col min="6" max="6" width="7" customWidth="1"/>
    <col min="7" max="7" width="4.54296875" customWidth="1"/>
    <col min="8" max="8" width="29.81640625" customWidth="1"/>
  </cols>
  <sheetData>
    <row r="1" spans="1:8" ht="21" x14ac:dyDescent="0.5">
      <c r="A1" s="27" t="s">
        <v>116</v>
      </c>
      <c r="B1" s="27"/>
      <c r="C1" s="27"/>
      <c r="D1" s="27"/>
      <c r="E1" s="27"/>
      <c r="F1" s="27"/>
      <c r="G1" s="27"/>
      <c r="H1" s="27"/>
    </row>
    <row r="3" spans="1:8" x14ac:dyDescent="0.35">
      <c r="A3" t="s">
        <v>80</v>
      </c>
    </row>
    <row r="4" spans="1:8" x14ac:dyDescent="0.35">
      <c r="A4" t="s">
        <v>81</v>
      </c>
    </row>
    <row r="5" spans="1:8" x14ac:dyDescent="0.35">
      <c r="A5" s="7" t="s">
        <v>117</v>
      </c>
    </row>
    <row r="6" spans="1:8" x14ac:dyDescent="0.35">
      <c r="A6" t="s">
        <v>150</v>
      </c>
    </row>
    <row r="9" spans="1:8" ht="20" x14ac:dyDescent="0.55000000000000004">
      <c r="A9" s="26" t="s">
        <v>158</v>
      </c>
      <c r="B9" s="26"/>
      <c r="C9" s="26"/>
      <c r="D9" s="26"/>
      <c r="E9" s="26"/>
      <c r="F9" s="26"/>
      <c r="G9" s="26"/>
      <c r="H9" s="26"/>
    </row>
    <row r="11" spans="1:8" x14ac:dyDescent="0.35">
      <c r="A11" s="3" t="s">
        <v>74</v>
      </c>
    </row>
    <row r="12" spans="1:8" x14ac:dyDescent="0.35">
      <c r="A12" t="s">
        <v>152</v>
      </c>
    </row>
    <row r="13" spans="1:8" x14ac:dyDescent="0.35">
      <c r="A13" t="s">
        <v>94</v>
      </c>
    </row>
    <row r="15" spans="1:8" x14ac:dyDescent="0.35">
      <c r="A15" t="s">
        <v>0</v>
      </c>
      <c r="B15" s="5">
        <v>7</v>
      </c>
      <c r="C15" s="4" t="s">
        <v>88</v>
      </c>
    </row>
    <row r="16" spans="1:8" x14ac:dyDescent="0.35">
      <c r="A16" t="s">
        <v>1</v>
      </c>
      <c r="B16" s="5">
        <v>9</v>
      </c>
      <c r="C16" s="4" t="s">
        <v>128</v>
      </c>
      <c r="F16" s="8" t="s">
        <v>24</v>
      </c>
      <c r="G16" s="10">
        <f>B15/B16</f>
        <v>0.77777777777777779</v>
      </c>
      <c r="H16" s="9" t="s">
        <v>151</v>
      </c>
    </row>
    <row r="17" spans="1:3" x14ac:dyDescent="0.35">
      <c r="A17" t="s">
        <v>87</v>
      </c>
      <c r="B17" s="6">
        <f>ErlangB(B15,B16)</f>
        <v>0.12210134325009794</v>
      </c>
      <c r="C17" s="4" t="s">
        <v>197</v>
      </c>
    </row>
  </sheetData>
  <mergeCells count="2">
    <mergeCell ref="A1:H1"/>
    <mergeCell ref="A9:H9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H17"/>
  <sheetViews>
    <sheetView workbookViewId="0">
      <selection sqref="A1:H1"/>
    </sheetView>
  </sheetViews>
  <sheetFormatPr baseColWidth="10" defaultRowHeight="14.5" x14ac:dyDescent="0.35"/>
  <cols>
    <col min="1" max="1" width="8.453125" customWidth="1"/>
    <col min="2" max="2" width="7" customWidth="1"/>
    <col min="5" max="5" width="5.54296875" customWidth="1"/>
    <col min="6" max="6" width="7" customWidth="1"/>
    <col min="7" max="7" width="4.54296875" customWidth="1"/>
    <col min="8" max="8" width="29.81640625" customWidth="1"/>
  </cols>
  <sheetData>
    <row r="1" spans="1:8" ht="21" x14ac:dyDescent="0.5">
      <c r="A1" s="27" t="s">
        <v>116</v>
      </c>
      <c r="B1" s="27"/>
      <c r="C1" s="27"/>
      <c r="D1" s="27"/>
      <c r="E1" s="27"/>
      <c r="F1" s="27"/>
      <c r="G1" s="27"/>
      <c r="H1" s="27"/>
    </row>
    <row r="3" spans="1:8" x14ac:dyDescent="0.35">
      <c r="A3" t="s">
        <v>33</v>
      </c>
    </row>
    <row r="4" spans="1:8" x14ac:dyDescent="0.35">
      <c r="A4" t="s">
        <v>34</v>
      </c>
    </row>
    <row r="5" spans="1:8" x14ac:dyDescent="0.35">
      <c r="A5" s="7" t="s">
        <v>118</v>
      </c>
    </row>
    <row r="6" spans="1:8" x14ac:dyDescent="0.35">
      <c r="A6" t="s">
        <v>72</v>
      </c>
    </row>
    <row r="9" spans="1:8" ht="20" x14ac:dyDescent="0.55000000000000004">
      <c r="A9" s="26" t="s">
        <v>73</v>
      </c>
      <c r="B9" s="26"/>
      <c r="C9" s="26"/>
      <c r="D9" s="26"/>
      <c r="E9" s="26"/>
      <c r="F9" s="26"/>
      <c r="G9" s="26"/>
      <c r="H9" s="26"/>
    </row>
    <row r="11" spans="1:8" x14ac:dyDescent="0.35">
      <c r="A11" s="3" t="s">
        <v>74</v>
      </c>
    </row>
    <row r="12" spans="1:8" x14ac:dyDescent="0.35">
      <c r="A12" t="s">
        <v>149</v>
      </c>
    </row>
    <row r="13" spans="1:8" x14ac:dyDescent="0.35">
      <c r="A13" t="s">
        <v>51</v>
      </c>
    </row>
    <row r="15" spans="1:8" x14ac:dyDescent="0.35">
      <c r="A15" t="s">
        <v>0</v>
      </c>
      <c r="B15" s="5">
        <v>7</v>
      </c>
      <c r="C15" s="4" t="s">
        <v>16</v>
      </c>
    </row>
    <row r="16" spans="1:8" x14ac:dyDescent="0.35">
      <c r="A16" t="s">
        <v>1</v>
      </c>
      <c r="B16" s="5">
        <v>9</v>
      </c>
      <c r="C16" s="4" t="s">
        <v>120</v>
      </c>
      <c r="F16" s="8" t="s">
        <v>24</v>
      </c>
      <c r="G16" s="10">
        <f>B15/B16</f>
        <v>0.77777777777777779</v>
      </c>
      <c r="H16" s="9" t="s">
        <v>140</v>
      </c>
    </row>
    <row r="17" spans="1:3" x14ac:dyDescent="0.35">
      <c r="A17" t="s">
        <v>18</v>
      </c>
      <c r="B17" s="6">
        <f>ErlangB(B15,B16)</f>
        <v>0.12210134325009794</v>
      </c>
      <c r="C17" s="4" t="s">
        <v>198</v>
      </c>
    </row>
  </sheetData>
  <mergeCells count="2">
    <mergeCell ref="A1:H1"/>
    <mergeCell ref="A9:H9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DDDF9-ED81-4F00-9ACD-FE2BB0A45F2B}">
  <sheetPr codeName="Tabelle7"/>
  <dimension ref="A1:H34"/>
  <sheetViews>
    <sheetView workbookViewId="0">
      <selection sqref="A1:H1"/>
    </sheetView>
  </sheetViews>
  <sheetFormatPr baseColWidth="10" defaultRowHeight="14.5" x14ac:dyDescent="0.35"/>
  <cols>
    <col min="1" max="1" width="14.81640625" customWidth="1"/>
  </cols>
  <sheetData>
    <row r="1" spans="1:8" ht="21" x14ac:dyDescent="0.5">
      <c r="A1" s="27" t="s">
        <v>160</v>
      </c>
      <c r="B1" s="27"/>
      <c r="C1" s="27"/>
      <c r="D1" s="27"/>
      <c r="E1" s="27"/>
      <c r="F1" s="27"/>
      <c r="G1" s="27"/>
      <c r="H1" s="27"/>
    </row>
    <row r="3" spans="1:8" x14ac:dyDescent="0.35">
      <c r="A3" s="29" t="s">
        <v>163</v>
      </c>
      <c r="B3" s="29"/>
      <c r="C3" s="29"/>
    </row>
    <row r="4" spans="1:8" x14ac:dyDescent="0.35">
      <c r="A4" s="15" t="s">
        <v>162</v>
      </c>
      <c r="B4" t="s">
        <v>166</v>
      </c>
      <c r="C4" s="18">
        <v>300</v>
      </c>
      <c r="D4" s="25" t="s">
        <v>179</v>
      </c>
    </row>
    <row r="5" spans="1:8" x14ac:dyDescent="0.35">
      <c r="A5" s="15" t="s">
        <v>128</v>
      </c>
      <c r="B5" t="s">
        <v>165</v>
      </c>
      <c r="C5" s="18">
        <v>10</v>
      </c>
    </row>
    <row r="7" spans="1:8" x14ac:dyDescent="0.35">
      <c r="A7" s="28" t="s">
        <v>164</v>
      </c>
      <c r="B7" s="28"/>
      <c r="C7" s="28"/>
    </row>
    <row r="8" spans="1:8" x14ac:dyDescent="0.35">
      <c r="A8" s="15" t="s">
        <v>167</v>
      </c>
      <c r="B8" t="s">
        <v>168</v>
      </c>
      <c r="C8" s="19">
        <f>1/C4</f>
        <v>3.3333333333333335E-3</v>
      </c>
      <c r="D8" s="25" t="s">
        <v>180</v>
      </c>
    </row>
    <row r="10" spans="1:8" x14ac:dyDescent="0.35">
      <c r="A10" s="16" t="s">
        <v>163</v>
      </c>
      <c r="B10" s="28" t="s">
        <v>164</v>
      </c>
      <c r="C10" s="28"/>
      <c r="D10" s="28"/>
      <c r="E10" s="30" t="s">
        <v>185</v>
      </c>
      <c r="F10" s="30"/>
      <c r="G10" s="30"/>
      <c r="H10" s="30"/>
    </row>
    <row r="11" spans="1:8" x14ac:dyDescent="0.35">
      <c r="A11" s="17" t="s">
        <v>169</v>
      </c>
      <c r="B11" s="15" t="s">
        <v>161</v>
      </c>
      <c r="C11" s="15" t="s">
        <v>91</v>
      </c>
      <c r="D11" s="15" t="s">
        <v>153</v>
      </c>
      <c r="E11" s="15" t="s">
        <v>170</v>
      </c>
      <c r="F11" s="15" t="s">
        <v>171</v>
      </c>
      <c r="G11" s="15" t="s">
        <v>172</v>
      </c>
      <c r="H11" s="15" t="s">
        <v>173</v>
      </c>
    </row>
    <row r="12" spans="1:8" x14ac:dyDescent="0.35">
      <c r="A12" t="s">
        <v>159</v>
      </c>
      <c r="B12" t="s">
        <v>3</v>
      </c>
      <c r="C12" t="s">
        <v>0</v>
      </c>
      <c r="D12" t="s">
        <v>178</v>
      </c>
      <c r="E12" t="s">
        <v>177</v>
      </c>
      <c r="F12" t="s">
        <v>176</v>
      </c>
      <c r="G12" t="s">
        <v>175</v>
      </c>
      <c r="H12" t="s">
        <v>174</v>
      </c>
    </row>
    <row r="13" spans="1:8" x14ac:dyDescent="0.35">
      <c r="A13" s="18">
        <v>50</v>
      </c>
      <c r="B13" s="20">
        <f>1/A13</f>
        <v>0.02</v>
      </c>
      <c r="C13" s="21">
        <f>B13/$C$8</f>
        <v>6</v>
      </c>
      <c r="D13" s="22">
        <f>C13/$C$5</f>
        <v>0.6</v>
      </c>
      <c r="E13" s="23">
        <f>ErlangC_ENQ(C13,$C$5)</f>
        <v>0.15194886403112623</v>
      </c>
      <c r="F13" s="23">
        <f>ErlangC_EN(C13,$C$5)</f>
        <v>6.1519488640311266</v>
      </c>
      <c r="G13" s="23">
        <f>ErlangC_EW(B13,$C$8,$C$5)</f>
        <v>7.5974432015563114</v>
      </c>
      <c r="H13" s="23">
        <f>ErlangC_EV(B13,$C$8,$C$5)</f>
        <v>307.5974432015563</v>
      </c>
    </row>
    <row r="14" spans="1:8" x14ac:dyDescent="0.35">
      <c r="A14" s="18">
        <v>49</v>
      </c>
      <c r="B14" s="20">
        <f>1/A14</f>
        <v>2.0408163265306121E-2</v>
      </c>
      <c r="C14" s="21">
        <f>B14/$C$8</f>
        <v>6.1224489795918355</v>
      </c>
      <c r="D14" s="22">
        <f>C14/$C$5</f>
        <v>0.61224489795918358</v>
      </c>
      <c r="E14" s="23">
        <f t="shared" ref="E14:E32" si="0">ErlangC_ENQ(C14,$C$5)</f>
        <v>0.17807047555473676</v>
      </c>
      <c r="F14" s="23">
        <f t="shared" ref="F14:F32" si="1">ErlangC_EN(C14,$C$5)</f>
        <v>6.3005194551465724</v>
      </c>
      <c r="G14" s="23">
        <f t="shared" ref="G14:G32" si="2">ErlangC_EW(B14,$C$8,$C$5)</f>
        <v>8.7254533021821032</v>
      </c>
      <c r="H14" s="23">
        <f t="shared" ref="H14:H32" si="3">ErlangC_EV(B14,$C$8,$C$5)</f>
        <v>308.72545330218207</v>
      </c>
    </row>
    <row r="15" spans="1:8" x14ac:dyDescent="0.35">
      <c r="A15" s="18">
        <v>48</v>
      </c>
      <c r="B15" s="20">
        <f t="shared" ref="B15:B32" si="4">1/A15</f>
        <v>2.0833333333333332E-2</v>
      </c>
      <c r="C15" s="21">
        <f t="shared" ref="C15:C32" si="5">B15/$C$8</f>
        <v>6.2499999999999991</v>
      </c>
      <c r="D15" s="22">
        <f t="shared" ref="D15:D32" si="6">C15/$C$5</f>
        <v>0.62499999999999989</v>
      </c>
      <c r="E15" s="23">
        <f t="shared" si="0"/>
        <v>0.20942178898748393</v>
      </c>
      <c r="F15" s="23">
        <f t="shared" si="1"/>
        <v>6.4594217889874832</v>
      </c>
      <c r="G15" s="23">
        <f t="shared" si="2"/>
        <v>10.052245871399229</v>
      </c>
      <c r="H15" s="23">
        <f t="shared" si="3"/>
        <v>310.05224587139924</v>
      </c>
    </row>
    <row r="16" spans="1:8" x14ac:dyDescent="0.35">
      <c r="A16" s="18">
        <v>47</v>
      </c>
      <c r="B16" s="20">
        <f t="shared" si="4"/>
        <v>2.1276595744680851E-2</v>
      </c>
      <c r="C16" s="21">
        <f t="shared" si="5"/>
        <v>6.3829787234042543</v>
      </c>
      <c r="D16" s="22">
        <f t="shared" si="6"/>
        <v>0.63829787234042545</v>
      </c>
      <c r="E16" s="23">
        <f t="shared" si="0"/>
        <v>0.2472433759814926</v>
      </c>
      <c r="F16" s="23">
        <f t="shared" si="1"/>
        <v>6.6302220993857466</v>
      </c>
      <c r="G16" s="23">
        <f t="shared" si="2"/>
        <v>11.620438671130156</v>
      </c>
      <c r="H16" s="23">
        <f t="shared" si="3"/>
        <v>311.62043867113016</v>
      </c>
    </row>
    <row r="17" spans="1:8" x14ac:dyDescent="0.35">
      <c r="A17" s="18">
        <v>46</v>
      </c>
      <c r="B17" s="20">
        <f t="shared" si="4"/>
        <v>2.1739130434782608E-2</v>
      </c>
      <c r="C17" s="21">
        <f t="shared" si="5"/>
        <v>6.5217391304347823</v>
      </c>
      <c r="D17" s="22">
        <f t="shared" si="6"/>
        <v>0.65217391304347827</v>
      </c>
      <c r="E17" s="23">
        <f t="shared" si="0"/>
        <v>0.29313156146977848</v>
      </c>
      <c r="F17" s="23">
        <f t="shared" si="1"/>
        <v>6.8148706919045612</v>
      </c>
      <c r="G17" s="23">
        <f t="shared" si="2"/>
        <v>13.484051827609809</v>
      </c>
      <c r="H17" s="23">
        <f t="shared" si="3"/>
        <v>313.48405182760979</v>
      </c>
    </row>
    <row r="18" spans="1:8" x14ac:dyDescent="0.35">
      <c r="A18" s="18">
        <v>45</v>
      </c>
      <c r="B18" s="20">
        <f t="shared" si="4"/>
        <v>2.2222222222222223E-2</v>
      </c>
      <c r="C18" s="21">
        <f t="shared" si="5"/>
        <v>6.6666666666666661</v>
      </c>
      <c r="D18" s="22">
        <f t="shared" si="6"/>
        <v>0.66666666666666663</v>
      </c>
      <c r="E18" s="23">
        <f t="shared" si="0"/>
        <v>0.34916384747602591</v>
      </c>
      <c r="F18" s="23">
        <f t="shared" si="1"/>
        <v>7.0158305141426922</v>
      </c>
      <c r="G18" s="23">
        <f t="shared" si="2"/>
        <v>15.712373136421169</v>
      </c>
      <c r="H18" s="23">
        <f t="shared" si="3"/>
        <v>315.71237313642115</v>
      </c>
    </row>
    <row r="19" spans="1:8" x14ac:dyDescent="0.35">
      <c r="A19" s="18">
        <v>44</v>
      </c>
      <c r="B19" s="20">
        <f t="shared" si="4"/>
        <v>2.2727272727272728E-2</v>
      </c>
      <c r="C19" s="21">
        <f t="shared" si="5"/>
        <v>6.8181818181818183</v>
      </c>
      <c r="D19" s="22">
        <f t="shared" si="6"/>
        <v>0.68181818181818188</v>
      </c>
      <c r="E19" s="23">
        <f t="shared" si="0"/>
        <v>0.41807916224273012</v>
      </c>
      <c r="F19" s="23">
        <f t="shared" si="1"/>
        <v>7.2362609804245484</v>
      </c>
      <c r="G19" s="23">
        <f t="shared" si="2"/>
        <v>18.39548313868012</v>
      </c>
      <c r="H19" s="23">
        <f t="shared" si="3"/>
        <v>318.39548313868011</v>
      </c>
    </row>
    <row r="20" spans="1:8" x14ac:dyDescent="0.35">
      <c r="A20" s="18">
        <v>43</v>
      </c>
      <c r="B20" s="20">
        <f t="shared" si="4"/>
        <v>2.3255813953488372E-2</v>
      </c>
      <c r="C20" s="21">
        <f t="shared" si="5"/>
        <v>6.9767441860465107</v>
      </c>
      <c r="D20" s="22">
        <f t="shared" si="6"/>
        <v>0.69767441860465107</v>
      </c>
      <c r="E20" s="23">
        <f t="shared" si="0"/>
        <v>0.50354263498238727</v>
      </c>
      <c r="F20" s="23">
        <f t="shared" si="1"/>
        <v>7.4802868210288977</v>
      </c>
      <c r="G20" s="23">
        <f t="shared" si="2"/>
        <v>21.652333304242656</v>
      </c>
      <c r="H20" s="23">
        <f t="shared" si="3"/>
        <v>321.65233330424263</v>
      </c>
    </row>
    <row r="21" spans="1:8" x14ac:dyDescent="0.35">
      <c r="A21" s="18">
        <v>42</v>
      </c>
      <c r="B21" s="20">
        <f t="shared" si="4"/>
        <v>2.3809523809523808E-2</v>
      </c>
      <c r="C21" s="21">
        <f t="shared" si="5"/>
        <v>7.1428571428571423</v>
      </c>
      <c r="D21" s="22">
        <f t="shared" si="6"/>
        <v>0.71428571428571419</v>
      </c>
      <c r="E21" s="23">
        <f t="shared" si="0"/>
        <v>0.61054443009535297</v>
      </c>
      <c r="F21" s="23">
        <f t="shared" si="1"/>
        <v>7.7534015729524954</v>
      </c>
      <c r="G21" s="23">
        <f t="shared" si="2"/>
        <v>25.642866064004821</v>
      </c>
      <c r="H21" s="23">
        <f t="shared" si="3"/>
        <v>325.64286606400481</v>
      </c>
    </row>
    <row r="22" spans="1:8" x14ac:dyDescent="0.35">
      <c r="A22" s="18">
        <v>41</v>
      </c>
      <c r="B22" s="20">
        <f t="shared" si="4"/>
        <v>2.4390243902439025E-2</v>
      </c>
      <c r="C22" s="21">
        <f t="shared" si="5"/>
        <v>7.3170731707317067</v>
      </c>
      <c r="D22" s="22">
        <f t="shared" si="6"/>
        <v>0.73170731707317072</v>
      </c>
      <c r="E22" s="23">
        <f t="shared" si="0"/>
        <v>0.74601824309707765</v>
      </c>
      <c r="F22" s="23">
        <f t="shared" si="1"/>
        <v>8.0630914138287846</v>
      </c>
      <c r="G22" s="23">
        <f t="shared" si="2"/>
        <v>30.586747966980187</v>
      </c>
      <c r="H22" s="23">
        <f t="shared" si="3"/>
        <v>330.58674796698017</v>
      </c>
    </row>
    <row r="23" spans="1:8" x14ac:dyDescent="0.35">
      <c r="A23" s="18">
        <v>40</v>
      </c>
      <c r="B23" s="20">
        <f t="shared" si="4"/>
        <v>2.5000000000000001E-2</v>
      </c>
      <c r="C23" s="21">
        <f t="shared" si="5"/>
        <v>7.5</v>
      </c>
      <c r="D23" s="22">
        <f t="shared" si="6"/>
        <v>0.75</v>
      </c>
      <c r="E23" s="23">
        <f t="shared" si="0"/>
        <v>0.91983360066389008</v>
      </c>
      <c r="F23" s="23">
        <f t="shared" si="1"/>
        <v>8.4198336006638907</v>
      </c>
      <c r="G23" s="23">
        <f t="shared" si="2"/>
        <v>36.793344026555594</v>
      </c>
      <c r="H23" s="23">
        <f t="shared" si="3"/>
        <v>336.79334402655559</v>
      </c>
    </row>
    <row r="24" spans="1:8" x14ac:dyDescent="0.35">
      <c r="A24" s="18">
        <v>39</v>
      </c>
      <c r="B24" s="20">
        <f t="shared" si="4"/>
        <v>2.564102564102564E-2</v>
      </c>
      <c r="C24" s="21">
        <f t="shared" si="5"/>
        <v>7.6923076923076916</v>
      </c>
      <c r="D24" s="22">
        <f t="shared" si="6"/>
        <v>0.76923076923076916</v>
      </c>
      <c r="E24" s="23">
        <f t="shared" si="0"/>
        <v>1.1464532018310027</v>
      </c>
      <c r="F24" s="23">
        <f t="shared" si="1"/>
        <v>8.8387608941386944</v>
      </c>
      <c r="G24" s="23">
        <f t="shared" si="2"/>
        <v>44.711674871409102</v>
      </c>
      <c r="H24" s="23">
        <f t="shared" si="3"/>
        <v>344.71167487140906</v>
      </c>
    </row>
    <row r="25" spans="1:8" x14ac:dyDescent="0.35">
      <c r="A25" s="18">
        <v>38</v>
      </c>
      <c r="B25" s="20">
        <f t="shared" si="4"/>
        <v>2.6315789473684209E-2</v>
      </c>
      <c r="C25" s="21">
        <f t="shared" si="5"/>
        <v>7.8947368421052619</v>
      </c>
      <c r="D25" s="22">
        <f t="shared" si="6"/>
        <v>0.78947368421052622</v>
      </c>
      <c r="E25" s="23">
        <f t="shared" si="0"/>
        <v>1.4478378838595778</v>
      </c>
      <c r="F25" s="23">
        <f t="shared" si="1"/>
        <v>9.3425747259648393</v>
      </c>
      <c r="G25" s="23">
        <f t="shared" si="2"/>
        <v>55.017839586663968</v>
      </c>
      <c r="H25" s="23">
        <f t="shared" si="3"/>
        <v>355.01783958666397</v>
      </c>
    </row>
    <row r="26" spans="1:8" x14ac:dyDescent="0.35">
      <c r="A26" s="18">
        <v>37</v>
      </c>
      <c r="B26" s="20">
        <f t="shared" si="4"/>
        <v>2.7027027027027029E-2</v>
      </c>
      <c r="C26" s="21">
        <f t="shared" si="5"/>
        <v>8.1081081081081088</v>
      </c>
      <c r="D26" s="22">
        <f t="shared" si="6"/>
        <v>0.81081081081081086</v>
      </c>
      <c r="E26" s="23">
        <f t="shared" si="0"/>
        <v>1.8588477609161287</v>
      </c>
      <c r="F26" s="23">
        <f t="shared" si="1"/>
        <v>9.9669558690242379</v>
      </c>
      <c r="G26" s="23">
        <f t="shared" si="2"/>
        <v>68.777367153896733</v>
      </c>
      <c r="H26" s="23">
        <f t="shared" si="3"/>
        <v>368.77736715389671</v>
      </c>
    </row>
    <row r="27" spans="1:8" x14ac:dyDescent="0.35">
      <c r="A27" s="18">
        <v>36</v>
      </c>
      <c r="B27" s="20">
        <f t="shared" si="4"/>
        <v>2.7777777777777776E-2</v>
      </c>
      <c r="C27" s="21">
        <f t="shared" si="5"/>
        <v>8.3333333333333321</v>
      </c>
      <c r="D27" s="22">
        <f t="shared" si="6"/>
        <v>0.83333333333333326</v>
      </c>
      <c r="E27" s="23">
        <f t="shared" si="0"/>
        <v>2.4380530400296463</v>
      </c>
      <c r="F27" s="23">
        <f t="shared" si="1"/>
        <v>10.771386373362978</v>
      </c>
      <c r="G27" s="23">
        <f t="shared" si="2"/>
        <v>87.769909441067284</v>
      </c>
      <c r="H27" s="23">
        <f t="shared" si="3"/>
        <v>387.76990944106728</v>
      </c>
    </row>
    <row r="28" spans="1:8" x14ac:dyDescent="0.35">
      <c r="A28" s="18">
        <v>35</v>
      </c>
      <c r="B28" s="20">
        <f t="shared" si="4"/>
        <v>2.8571428571428571E-2</v>
      </c>
      <c r="C28" s="21">
        <f t="shared" si="5"/>
        <v>8.5714285714285712</v>
      </c>
      <c r="D28" s="22">
        <f t="shared" si="6"/>
        <v>0.8571428571428571</v>
      </c>
      <c r="E28" s="23">
        <f t="shared" si="0"/>
        <v>3.291529966079962</v>
      </c>
      <c r="F28" s="23">
        <f t="shared" si="1"/>
        <v>11.862958537508533</v>
      </c>
      <c r="G28" s="23">
        <f t="shared" si="2"/>
        <v>115.20354881279862</v>
      </c>
      <c r="H28" s="23">
        <f t="shared" si="3"/>
        <v>415.2035488127986</v>
      </c>
    </row>
    <row r="29" spans="1:8" x14ac:dyDescent="0.35">
      <c r="A29" s="18">
        <v>34</v>
      </c>
      <c r="B29" s="20">
        <f t="shared" si="4"/>
        <v>2.9411764705882353E-2</v>
      </c>
      <c r="C29" s="21">
        <f t="shared" si="5"/>
        <v>8.8235294117647047</v>
      </c>
      <c r="D29" s="22">
        <f t="shared" si="6"/>
        <v>0.88235294117647045</v>
      </c>
      <c r="E29" s="23">
        <f t="shared" si="0"/>
        <v>4.6323687897053478</v>
      </c>
      <c r="F29" s="23">
        <f t="shared" si="1"/>
        <v>13.455898201470053</v>
      </c>
      <c r="G29" s="23">
        <f t="shared" si="2"/>
        <v>157.50053884998189</v>
      </c>
      <c r="H29" s="23">
        <f t="shared" si="3"/>
        <v>457.50053884998187</v>
      </c>
    </row>
    <row r="30" spans="1:8" x14ac:dyDescent="0.35">
      <c r="A30" s="18">
        <v>33</v>
      </c>
      <c r="B30" s="20">
        <f t="shared" si="4"/>
        <v>3.0303030303030304E-2</v>
      </c>
      <c r="C30" s="21">
        <f t="shared" si="5"/>
        <v>9.0909090909090899</v>
      </c>
      <c r="D30" s="22">
        <f t="shared" si="6"/>
        <v>0.90909090909090895</v>
      </c>
      <c r="E30" s="23">
        <f t="shared" si="0"/>
        <v>6.9592266191512397</v>
      </c>
      <c r="F30" s="23">
        <f t="shared" si="1"/>
        <v>16.050135710060328</v>
      </c>
      <c r="G30" s="23">
        <f t="shared" si="2"/>
        <v>229.65447843199107</v>
      </c>
      <c r="H30" s="23">
        <f t="shared" si="3"/>
        <v>529.65447843199104</v>
      </c>
    </row>
    <row r="31" spans="1:8" x14ac:dyDescent="0.35">
      <c r="A31" s="18">
        <v>32</v>
      </c>
      <c r="B31" s="20">
        <f t="shared" si="4"/>
        <v>3.125E-2</v>
      </c>
      <c r="C31" s="21">
        <f t="shared" si="5"/>
        <v>9.375</v>
      </c>
      <c r="D31" s="22">
        <f t="shared" si="6"/>
        <v>0.9375</v>
      </c>
      <c r="E31" s="23">
        <f t="shared" si="0"/>
        <v>11.770591230027106</v>
      </c>
      <c r="F31" s="23">
        <f t="shared" si="1"/>
        <v>21.145591230027108</v>
      </c>
      <c r="G31" s="23">
        <f t="shared" si="2"/>
        <v>376.65891936086706</v>
      </c>
      <c r="H31" s="23">
        <f t="shared" si="3"/>
        <v>676.658919360867</v>
      </c>
    </row>
    <row r="32" spans="1:8" x14ac:dyDescent="0.35">
      <c r="A32" s="18">
        <v>31</v>
      </c>
      <c r="B32" s="20">
        <f t="shared" si="4"/>
        <v>3.2258064516129031E-2</v>
      </c>
      <c r="C32" s="21">
        <f t="shared" si="5"/>
        <v>9.6774193548387082</v>
      </c>
      <c r="D32" s="22">
        <f t="shared" si="6"/>
        <v>0.96774193548387077</v>
      </c>
      <c r="E32" s="23">
        <f t="shared" si="0"/>
        <v>26.564755084233067</v>
      </c>
      <c r="F32" s="23">
        <f t="shared" si="1"/>
        <v>36.242174439071775</v>
      </c>
      <c r="G32" s="23">
        <f t="shared" si="2"/>
        <v>823.50740761122677</v>
      </c>
      <c r="H32" s="23">
        <f t="shared" si="3"/>
        <v>1123.5074076112267</v>
      </c>
    </row>
    <row r="33" spans="1:8" x14ac:dyDescent="0.35">
      <c r="A33" s="24" t="s">
        <v>179</v>
      </c>
      <c r="B33" s="24" t="s">
        <v>180</v>
      </c>
      <c r="D33" s="13"/>
      <c r="G33" s="24" t="s">
        <v>179</v>
      </c>
      <c r="H33" s="24" t="s">
        <v>179</v>
      </c>
    </row>
    <row r="34" spans="1:8" x14ac:dyDescent="0.35">
      <c r="B34" s="14"/>
      <c r="D34" s="13"/>
    </row>
  </sheetData>
  <mergeCells count="5">
    <mergeCell ref="A1:H1"/>
    <mergeCell ref="B10:D10"/>
    <mergeCell ref="A7:C7"/>
    <mergeCell ref="A3:C3"/>
    <mergeCell ref="E10:H10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E3AA1-F56B-48D4-A2B5-131A1746A69C}">
  <sheetPr codeName="Tabelle8"/>
  <dimension ref="A1:H34"/>
  <sheetViews>
    <sheetView workbookViewId="0">
      <selection sqref="A1:H1"/>
    </sheetView>
  </sheetViews>
  <sheetFormatPr baseColWidth="10" defaultRowHeight="14.5" x14ac:dyDescent="0.35"/>
  <cols>
    <col min="1" max="1" width="14.81640625" customWidth="1"/>
  </cols>
  <sheetData>
    <row r="1" spans="1:8" ht="21" x14ac:dyDescent="0.5">
      <c r="A1" s="27" t="s">
        <v>181</v>
      </c>
      <c r="B1" s="27"/>
      <c r="C1" s="27"/>
      <c r="D1" s="27"/>
      <c r="E1" s="27"/>
      <c r="F1" s="27"/>
      <c r="G1" s="27"/>
      <c r="H1" s="27"/>
    </row>
    <row r="3" spans="1:8" x14ac:dyDescent="0.35">
      <c r="A3" s="29" t="s">
        <v>183</v>
      </c>
      <c r="B3" s="29"/>
      <c r="C3" s="29"/>
    </row>
    <row r="4" spans="1:8" x14ac:dyDescent="0.35">
      <c r="A4" s="15" t="s">
        <v>189</v>
      </c>
      <c r="B4" t="s">
        <v>166</v>
      </c>
      <c r="C4" s="18">
        <v>300</v>
      </c>
      <c r="D4" s="25" t="s">
        <v>186</v>
      </c>
    </row>
    <row r="5" spans="1:8" x14ac:dyDescent="0.35">
      <c r="A5" s="15" t="s">
        <v>120</v>
      </c>
      <c r="B5" t="s">
        <v>165</v>
      </c>
      <c r="C5" s="18">
        <v>10</v>
      </c>
    </row>
    <row r="7" spans="1:8" x14ac:dyDescent="0.35">
      <c r="A7" s="28" t="s">
        <v>182</v>
      </c>
      <c r="B7" s="28"/>
      <c r="C7" s="28"/>
    </row>
    <row r="8" spans="1:8" x14ac:dyDescent="0.35">
      <c r="A8" s="15" t="s">
        <v>188</v>
      </c>
      <c r="B8" t="s">
        <v>168</v>
      </c>
      <c r="C8" s="19">
        <f>1/C4</f>
        <v>3.3333333333333335E-3</v>
      </c>
      <c r="D8" s="25" t="s">
        <v>187</v>
      </c>
    </row>
    <row r="10" spans="1:8" x14ac:dyDescent="0.35">
      <c r="A10" s="16" t="s">
        <v>183</v>
      </c>
      <c r="B10" s="28" t="s">
        <v>182</v>
      </c>
      <c r="C10" s="28"/>
      <c r="D10" s="28"/>
      <c r="E10" s="30" t="s">
        <v>184</v>
      </c>
      <c r="F10" s="30"/>
      <c r="G10" s="30"/>
      <c r="H10" s="30"/>
    </row>
    <row r="11" spans="1:8" x14ac:dyDescent="0.35">
      <c r="A11" s="17" t="s">
        <v>190</v>
      </c>
      <c r="B11" s="15" t="s">
        <v>191</v>
      </c>
      <c r="C11" s="15" t="s">
        <v>192</v>
      </c>
      <c r="D11" s="15" t="s">
        <v>25</v>
      </c>
      <c r="E11" s="15" t="s">
        <v>193</v>
      </c>
      <c r="F11" s="15" t="s">
        <v>194</v>
      </c>
      <c r="G11" s="15" t="s">
        <v>195</v>
      </c>
      <c r="H11" s="15" t="s">
        <v>196</v>
      </c>
    </row>
    <row r="12" spans="1:8" x14ac:dyDescent="0.35">
      <c r="A12" t="s">
        <v>159</v>
      </c>
      <c r="B12" t="s">
        <v>3</v>
      </c>
      <c r="C12" t="s">
        <v>0</v>
      </c>
      <c r="D12" t="s">
        <v>178</v>
      </c>
      <c r="E12" t="s">
        <v>177</v>
      </c>
      <c r="F12" t="s">
        <v>176</v>
      </c>
      <c r="G12" t="s">
        <v>175</v>
      </c>
      <c r="H12" t="s">
        <v>174</v>
      </c>
    </row>
    <row r="13" spans="1:8" x14ac:dyDescent="0.35">
      <c r="A13" s="18">
        <v>50</v>
      </c>
      <c r="B13" s="20">
        <f>1/A13</f>
        <v>0.02</v>
      </c>
      <c r="C13" s="21">
        <f>B13/$C$8</f>
        <v>6</v>
      </c>
      <c r="D13" s="22">
        <f>C13/$C$5</f>
        <v>0.6</v>
      </c>
      <c r="E13" s="23">
        <f>ErlangC_ENQ(C13,$C$5)</f>
        <v>0.15194886403112623</v>
      </c>
      <c r="F13" s="23">
        <f>ErlangC_EN(C13,$C$5)</f>
        <v>6.1519488640311266</v>
      </c>
      <c r="G13" s="23">
        <f>ErlangC_EW(B13,$C$8,$C$5)</f>
        <v>7.5974432015563114</v>
      </c>
      <c r="H13" s="23">
        <f>ErlangC_EV(B13,$C$8,$C$5)</f>
        <v>307.5974432015563</v>
      </c>
    </row>
    <row r="14" spans="1:8" x14ac:dyDescent="0.35">
      <c r="A14" s="18">
        <v>49</v>
      </c>
      <c r="B14" s="20">
        <f>1/A14</f>
        <v>2.0408163265306121E-2</v>
      </c>
      <c r="C14" s="21">
        <f>B14/$C$8</f>
        <v>6.1224489795918355</v>
      </c>
      <c r="D14" s="22">
        <f>C14/$C$5</f>
        <v>0.61224489795918358</v>
      </c>
      <c r="E14" s="23">
        <f t="shared" ref="E14:E32" si="0">ErlangC_ENQ(C14,$C$5)</f>
        <v>0.17807047555473676</v>
      </c>
      <c r="F14" s="23">
        <f t="shared" ref="F14:F32" si="1">ErlangC_EN(C14,$C$5)</f>
        <v>6.3005194551465724</v>
      </c>
      <c r="G14" s="23">
        <f t="shared" ref="G14:G32" si="2">ErlangC_EW(B14,$C$8,$C$5)</f>
        <v>8.7254533021821032</v>
      </c>
      <c r="H14" s="23">
        <f t="shared" ref="H14:H32" si="3">ErlangC_EV(B14,$C$8,$C$5)</f>
        <v>308.72545330218207</v>
      </c>
    </row>
    <row r="15" spans="1:8" x14ac:dyDescent="0.35">
      <c r="A15" s="18">
        <v>48</v>
      </c>
      <c r="B15" s="20">
        <f t="shared" ref="B15:B32" si="4">1/A15</f>
        <v>2.0833333333333332E-2</v>
      </c>
      <c r="C15" s="21">
        <f t="shared" ref="C15:C32" si="5">B15/$C$8</f>
        <v>6.2499999999999991</v>
      </c>
      <c r="D15" s="22">
        <f t="shared" ref="D15:D32" si="6">C15/$C$5</f>
        <v>0.62499999999999989</v>
      </c>
      <c r="E15" s="23">
        <f t="shared" si="0"/>
        <v>0.20942178898748393</v>
      </c>
      <c r="F15" s="23">
        <f t="shared" si="1"/>
        <v>6.4594217889874832</v>
      </c>
      <c r="G15" s="23">
        <f t="shared" si="2"/>
        <v>10.052245871399229</v>
      </c>
      <c r="H15" s="23">
        <f t="shared" si="3"/>
        <v>310.05224587139924</v>
      </c>
    </row>
    <row r="16" spans="1:8" x14ac:dyDescent="0.35">
      <c r="A16" s="18">
        <v>47</v>
      </c>
      <c r="B16" s="20">
        <f t="shared" si="4"/>
        <v>2.1276595744680851E-2</v>
      </c>
      <c r="C16" s="21">
        <f t="shared" si="5"/>
        <v>6.3829787234042543</v>
      </c>
      <c r="D16" s="22">
        <f t="shared" si="6"/>
        <v>0.63829787234042545</v>
      </c>
      <c r="E16" s="23">
        <f t="shared" si="0"/>
        <v>0.2472433759814926</v>
      </c>
      <c r="F16" s="23">
        <f t="shared" si="1"/>
        <v>6.6302220993857466</v>
      </c>
      <c r="G16" s="23">
        <f t="shared" si="2"/>
        <v>11.620438671130156</v>
      </c>
      <c r="H16" s="23">
        <f t="shared" si="3"/>
        <v>311.62043867113016</v>
      </c>
    </row>
    <row r="17" spans="1:8" x14ac:dyDescent="0.35">
      <c r="A17" s="18">
        <v>46</v>
      </c>
      <c r="B17" s="20">
        <f t="shared" si="4"/>
        <v>2.1739130434782608E-2</v>
      </c>
      <c r="C17" s="21">
        <f t="shared" si="5"/>
        <v>6.5217391304347823</v>
      </c>
      <c r="D17" s="22">
        <f t="shared" si="6"/>
        <v>0.65217391304347827</v>
      </c>
      <c r="E17" s="23">
        <f t="shared" si="0"/>
        <v>0.29313156146977848</v>
      </c>
      <c r="F17" s="23">
        <f t="shared" si="1"/>
        <v>6.8148706919045612</v>
      </c>
      <c r="G17" s="23">
        <f t="shared" si="2"/>
        <v>13.484051827609809</v>
      </c>
      <c r="H17" s="23">
        <f t="shared" si="3"/>
        <v>313.48405182760979</v>
      </c>
    </row>
    <row r="18" spans="1:8" x14ac:dyDescent="0.35">
      <c r="A18" s="18">
        <v>45</v>
      </c>
      <c r="B18" s="20">
        <f t="shared" si="4"/>
        <v>2.2222222222222223E-2</v>
      </c>
      <c r="C18" s="21">
        <f t="shared" si="5"/>
        <v>6.6666666666666661</v>
      </c>
      <c r="D18" s="22">
        <f t="shared" si="6"/>
        <v>0.66666666666666663</v>
      </c>
      <c r="E18" s="23">
        <f t="shared" si="0"/>
        <v>0.34916384747602591</v>
      </c>
      <c r="F18" s="23">
        <f t="shared" si="1"/>
        <v>7.0158305141426922</v>
      </c>
      <c r="G18" s="23">
        <f t="shared" si="2"/>
        <v>15.712373136421169</v>
      </c>
      <c r="H18" s="23">
        <f t="shared" si="3"/>
        <v>315.71237313642115</v>
      </c>
    </row>
    <row r="19" spans="1:8" x14ac:dyDescent="0.35">
      <c r="A19" s="18">
        <v>44</v>
      </c>
      <c r="B19" s="20">
        <f t="shared" si="4"/>
        <v>2.2727272727272728E-2</v>
      </c>
      <c r="C19" s="21">
        <f t="shared" si="5"/>
        <v>6.8181818181818183</v>
      </c>
      <c r="D19" s="22">
        <f t="shared" si="6"/>
        <v>0.68181818181818188</v>
      </c>
      <c r="E19" s="23">
        <f t="shared" si="0"/>
        <v>0.41807916224273012</v>
      </c>
      <c r="F19" s="23">
        <f t="shared" si="1"/>
        <v>7.2362609804245484</v>
      </c>
      <c r="G19" s="23">
        <f t="shared" si="2"/>
        <v>18.39548313868012</v>
      </c>
      <c r="H19" s="23">
        <f t="shared" si="3"/>
        <v>318.39548313868011</v>
      </c>
    </row>
    <row r="20" spans="1:8" x14ac:dyDescent="0.35">
      <c r="A20" s="18">
        <v>43</v>
      </c>
      <c r="B20" s="20">
        <f t="shared" si="4"/>
        <v>2.3255813953488372E-2</v>
      </c>
      <c r="C20" s="21">
        <f t="shared" si="5"/>
        <v>6.9767441860465107</v>
      </c>
      <c r="D20" s="22">
        <f t="shared" si="6"/>
        <v>0.69767441860465107</v>
      </c>
      <c r="E20" s="23">
        <f t="shared" si="0"/>
        <v>0.50354263498238727</v>
      </c>
      <c r="F20" s="23">
        <f t="shared" si="1"/>
        <v>7.4802868210288977</v>
      </c>
      <c r="G20" s="23">
        <f t="shared" si="2"/>
        <v>21.652333304242656</v>
      </c>
      <c r="H20" s="23">
        <f t="shared" si="3"/>
        <v>321.65233330424263</v>
      </c>
    </row>
    <row r="21" spans="1:8" x14ac:dyDescent="0.35">
      <c r="A21" s="18">
        <v>42</v>
      </c>
      <c r="B21" s="20">
        <f t="shared" si="4"/>
        <v>2.3809523809523808E-2</v>
      </c>
      <c r="C21" s="21">
        <f t="shared" si="5"/>
        <v>7.1428571428571423</v>
      </c>
      <c r="D21" s="22">
        <f t="shared" si="6"/>
        <v>0.71428571428571419</v>
      </c>
      <c r="E21" s="23">
        <f t="shared" si="0"/>
        <v>0.61054443009535297</v>
      </c>
      <c r="F21" s="23">
        <f t="shared" si="1"/>
        <v>7.7534015729524954</v>
      </c>
      <c r="G21" s="23">
        <f t="shared" si="2"/>
        <v>25.642866064004821</v>
      </c>
      <c r="H21" s="23">
        <f t="shared" si="3"/>
        <v>325.64286606400481</v>
      </c>
    </row>
    <row r="22" spans="1:8" x14ac:dyDescent="0.35">
      <c r="A22" s="18">
        <v>41</v>
      </c>
      <c r="B22" s="20">
        <f t="shared" si="4"/>
        <v>2.4390243902439025E-2</v>
      </c>
      <c r="C22" s="21">
        <f t="shared" si="5"/>
        <v>7.3170731707317067</v>
      </c>
      <c r="D22" s="22">
        <f t="shared" si="6"/>
        <v>0.73170731707317072</v>
      </c>
      <c r="E22" s="23">
        <f t="shared" si="0"/>
        <v>0.74601824309707765</v>
      </c>
      <c r="F22" s="23">
        <f t="shared" si="1"/>
        <v>8.0630914138287846</v>
      </c>
      <c r="G22" s="23">
        <f t="shared" si="2"/>
        <v>30.586747966980187</v>
      </c>
      <c r="H22" s="23">
        <f t="shared" si="3"/>
        <v>330.58674796698017</v>
      </c>
    </row>
    <row r="23" spans="1:8" x14ac:dyDescent="0.35">
      <c r="A23" s="18">
        <v>40</v>
      </c>
      <c r="B23" s="20">
        <f t="shared" si="4"/>
        <v>2.5000000000000001E-2</v>
      </c>
      <c r="C23" s="21">
        <f t="shared" si="5"/>
        <v>7.5</v>
      </c>
      <c r="D23" s="22">
        <f t="shared" si="6"/>
        <v>0.75</v>
      </c>
      <c r="E23" s="23">
        <f t="shared" si="0"/>
        <v>0.91983360066389008</v>
      </c>
      <c r="F23" s="23">
        <f t="shared" si="1"/>
        <v>8.4198336006638907</v>
      </c>
      <c r="G23" s="23">
        <f t="shared" si="2"/>
        <v>36.793344026555594</v>
      </c>
      <c r="H23" s="23">
        <f t="shared" si="3"/>
        <v>336.79334402655559</v>
      </c>
    </row>
    <row r="24" spans="1:8" x14ac:dyDescent="0.35">
      <c r="A24" s="18">
        <v>39</v>
      </c>
      <c r="B24" s="20">
        <f t="shared" si="4"/>
        <v>2.564102564102564E-2</v>
      </c>
      <c r="C24" s="21">
        <f t="shared" si="5"/>
        <v>7.6923076923076916</v>
      </c>
      <c r="D24" s="22">
        <f t="shared" si="6"/>
        <v>0.76923076923076916</v>
      </c>
      <c r="E24" s="23">
        <f t="shared" si="0"/>
        <v>1.1464532018310027</v>
      </c>
      <c r="F24" s="23">
        <f t="shared" si="1"/>
        <v>8.8387608941386944</v>
      </c>
      <c r="G24" s="23">
        <f t="shared" si="2"/>
        <v>44.711674871409102</v>
      </c>
      <c r="H24" s="23">
        <f t="shared" si="3"/>
        <v>344.71167487140906</v>
      </c>
    </row>
    <row r="25" spans="1:8" x14ac:dyDescent="0.35">
      <c r="A25" s="18">
        <v>38</v>
      </c>
      <c r="B25" s="20">
        <f t="shared" si="4"/>
        <v>2.6315789473684209E-2</v>
      </c>
      <c r="C25" s="21">
        <f t="shared" si="5"/>
        <v>7.8947368421052619</v>
      </c>
      <c r="D25" s="22">
        <f t="shared" si="6"/>
        <v>0.78947368421052622</v>
      </c>
      <c r="E25" s="23">
        <f t="shared" si="0"/>
        <v>1.4478378838595778</v>
      </c>
      <c r="F25" s="23">
        <f t="shared" si="1"/>
        <v>9.3425747259648393</v>
      </c>
      <c r="G25" s="23">
        <f t="shared" si="2"/>
        <v>55.017839586663968</v>
      </c>
      <c r="H25" s="23">
        <f t="shared" si="3"/>
        <v>355.01783958666397</v>
      </c>
    </row>
    <row r="26" spans="1:8" x14ac:dyDescent="0.35">
      <c r="A26" s="18">
        <v>37</v>
      </c>
      <c r="B26" s="20">
        <f t="shared" si="4"/>
        <v>2.7027027027027029E-2</v>
      </c>
      <c r="C26" s="21">
        <f t="shared" si="5"/>
        <v>8.1081081081081088</v>
      </c>
      <c r="D26" s="22">
        <f t="shared" si="6"/>
        <v>0.81081081081081086</v>
      </c>
      <c r="E26" s="23">
        <f t="shared" si="0"/>
        <v>1.8588477609161287</v>
      </c>
      <c r="F26" s="23">
        <f t="shared" si="1"/>
        <v>9.9669558690242379</v>
      </c>
      <c r="G26" s="23">
        <f t="shared" si="2"/>
        <v>68.777367153896733</v>
      </c>
      <c r="H26" s="23">
        <f t="shared" si="3"/>
        <v>368.77736715389671</v>
      </c>
    </row>
    <row r="27" spans="1:8" x14ac:dyDescent="0.35">
      <c r="A27" s="18">
        <v>36</v>
      </c>
      <c r="B27" s="20">
        <f t="shared" si="4"/>
        <v>2.7777777777777776E-2</v>
      </c>
      <c r="C27" s="21">
        <f t="shared" si="5"/>
        <v>8.3333333333333321</v>
      </c>
      <c r="D27" s="22">
        <f t="shared" si="6"/>
        <v>0.83333333333333326</v>
      </c>
      <c r="E27" s="23">
        <f t="shared" si="0"/>
        <v>2.4380530400296463</v>
      </c>
      <c r="F27" s="23">
        <f t="shared" si="1"/>
        <v>10.771386373362978</v>
      </c>
      <c r="G27" s="23">
        <f t="shared" si="2"/>
        <v>87.769909441067284</v>
      </c>
      <c r="H27" s="23">
        <f t="shared" si="3"/>
        <v>387.76990944106728</v>
      </c>
    </row>
    <row r="28" spans="1:8" x14ac:dyDescent="0.35">
      <c r="A28" s="18">
        <v>35</v>
      </c>
      <c r="B28" s="20">
        <f t="shared" si="4"/>
        <v>2.8571428571428571E-2</v>
      </c>
      <c r="C28" s="21">
        <f t="shared" si="5"/>
        <v>8.5714285714285712</v>
      </c>
      <c r="D28" s="22">
        <f t="shared" si="6"/>
        <v>0.8571428571428571</v>
      </c>
      <c r="E28" s="23">
        <f t="shared" si="0"/>
        <v>3.291529966079962</v>
      </c>
      <c r="F28" s="23">
        <f t="shared" si="1"/>
        <v>11.862958537508533</v>
      </c>
      <c r="G28" s="23">
        <f t="shared" si="2"/>
        <v>115.20354881279862</v>
      </c>
      <c r="H28" s="23">
        <f t="shared" si="3"/>
        <v>415.2035488127986</v>
      </c>
    </row>
    <row r="29" spans="1:8" x14ac:dyDescent="0.35">
      <c r="A29" s="18">
        <v>34</v>
      </c>
      <c r="B29" s="20">
        <f t="shared" si="4"/>
        <v>2.9411764705882353E-2</v>
      </c>
      <c r="C29" s="21">
        <f t="shared" si="5"/>
        <v>8.8235294117647047</v>
      </c>
      <c r="D29" s="22">
        <f t="shared" si="6"/>
        <v>0.88235294117647045</v>
      </c>
      <c r="E29" s="23">
        <f t="shared" si="0"/>
        <v>4.6323687897053478</v>
      </c>
      <c r="F29" s="23">
        <f t="shared" si="1"/>
        <v>13.455898201470053</v>
      </c>
      <c r="G29" s="23">
        <f t="shared" si="2"/>
        <v>157.50053884998189</v>
      </c>
      <c r="H29" s="23">
        <f t="shared" si="3"/>
        <v>457.50053884998187</v>
      </c>
    </row>
    <row r="30" spans="1:8" x14ac:dyDescent="0.35">
      <c r="A30" s="18">
        <v>33</v>
      </c>
      <c r="B30" s="20">
        <f t="shared" si="4"/>
        <v>3.0303030303030304E-2</v>
      </c>
      <c r="C30" s="21">
        <f t="shared" si="5"/>
        <v>9.0909090909090899</v>
      </c>
      <c r="D30" s="22">
        <f t="shared" si="6"/>
        <v>0.90909090909090895</v>
      </c>
      <c r="E30" s="23">
        <f t="shared" si="0"/>
        <v>6.9592266191512397</v>
      </c>
      <c r="F30" s="23">
        <f t="shared" si="1"/>
        <v>16.050135710060328</v>
      </c>
      <c r="G30" s="23">
        <f t="shared" si="2"/>
        <v>229.65447843199107</v>
      </c>
      <c r="H30" s="23">
        <f t="shared" si="3"/>
        <v>529.65447843199104</v>
      </c>
    </row>
    <row r="31" spans="1:8" x14ac:dyDescent="0.35">
      <c r="A31" s="18">
        <v>32</v>
      </c>
      <c r="B31" s="20">
        <f t="shared" si="4"/>
        <v>3.125E-2</v>
      </c>
      <c r="C31" s="21">
        <f t="shared" si="5"/>
        <v>9.375</v>
      </c>
      <c r="D31" s="22">
        <f t="shared" si="6"/>
        <v>0.9375</v>
      </c>
      <c r="E31" s="23">
        <f t="shared" si="0"/>
        <v>11.770591230027106</v>
      </c>
      <c r="F31" s="23">
        <f t="shared" si="1"/>
        <v>21.145591230027108</v>
      </c>
      <c r="G31" s="23">
        <f t="shared" si="2"/>
        <v>376.65891936086706</v>
      </c>
      <c r="H31" s="23">
        <f t="shared" si="3"/>
        <v>676.658919360867</v>
      </c>
    </row>
    <row r="32" spans="1:8" x14ac:dyDescent="0.35">
      <c r="A32" s="18">
        <v>31</v>
      </c>
      <c r="B32" s="20">
        <f t="shared" si="4"/>
        <v>3.2258064516129031E-2</v>
      </c>
      <c r="C32" s="21">
        <f t="shared" si="5"/>
        <v>9.6774193548387082</v>
      </c>
      <c r="D32" s="22">
        <f t="shared" si="6"/>
        <v>0.96774193548387077</v>
      </c>
      <c r="E32" s="23">
        <f t="shared" si="0"/>
        <v>26.564755084233067</v>
      </c>
      <c r="F32" s="23">
        <f t="shared" si="1"/>
        <v>36.242174439071775</v>
      </c>
      <c r="G32" s="23">
        <f t="shared" si="2"/>
        <v>823.50740761122677</v>
      </c>
      <c r="H32" s="23">
        <f t="shared" si="3"/>
        <v>1123.5074076112267</v>
      </c>
    </row>
    <row r="33" spans="1:8" x14ac:dyDescent="0.35">
      <c r="A33" s="24" t="s">
        <v>186</v>
      </c>
      <c r="B33" s="24" t="s">
        <v>187</v>
      </c>
      <c r="D33" s="13"/>
      <c r="G33" s="24" t="s">
        <v>186</v>
      </c>
      <c r="H33" s="24" t="s">
        <v>186</v>
      </c>
    </row>
    <row r="34" spans="1:8" x14ac:dyDescent="0.35">
      <c r="B34" s="14"/>
      <c r="D34" s="13"/>
    </row>
  </sheetData>
  <mergeCells count="5">
    <mergeCell ref="A1:H1"/>
    <mergeCell ref="A3:C3"/>
    <mergeCell ref="A7:C7"/>
    <mergeCell ref="B10:D10"/>
    <mergeCell ref="E10:H10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A4F8F-5A70-4CD8-B5A8-BE2E427D571E}">
  <sheetPr codeName="Tabelle9"/>
  <dimension ref="A1:L51"/>
  <sheetViews>
    <sheetView workbookViewId="0">
      <selection sqref="A1:L1"/>
    </sheetView>
  </sheetViews>
  <sheetFormatPr baseColWidth="10" defaultRowHeight="14.5" x14ac:dyDescent="0.35"/>
  <cols>
    <col min="1" max="1" width="14.81640625" customWidth="1"/>
  </cols>
  <sheetData>
    <row r="1" spans="1:12" ht="21" x14ac:dyDescent="0.5">
      <c r="A1" s="27" t="s">
        <v>199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3" spans="1:12" x14ac:dyDescent="0.35">
      <c r="A3" s="29" t="s">
        <v>163</v>
      </c>
      <c r="B3" s="29"/>
      <c r="C3" s="29"/>
    </row>
    <row r="4" spans="1:12" x14ac:dyDescent="0.35">
      <c r="A4" s="15" t="s">
        <v>200</v>
      </c>
      <c r="B4" t="s">
        <v>201</v>
      </c>
      <c r="C4" s="18">
        <v>600</v>
      </c>
      <c r="D4" s="25" t="s">
        <v>179</v>
      </c>
      <c r="E4" s="25"/>
      <c r="F4" s="25"/>
      <c r="G4" s="25"/>
      <c r="H4" s="25"/>
    </row>
    <row r="5" spans="1:12" x14ac:dyDescent="0.35">
      <c r="A5" s="15" t="s">
        <v>162</v>
      </c>
      <c r="B5" t="s">
        <v>166</v>
      </c>
      <c r="C5" s="18">
        <v>300</v>
      </c>
      <c r="D5" s="25" t="s">
        <v>179</v>
      </c>
      <c r="E5" s="25"/>
      <c r="F5" s="25"/>
      <c r="G5" s="25"/>
      <c r="H5" s="25"/>
    </row>
    <row r="6" spans="1:12" x14ac:dyDescent="0.35">
      <c r="A6" s="15" t="s">
        <v>128</v>
      </c>
      <c r="B6" t="s">
        <v>165</v>
      </c>
      <c r="C6" s="18">
        <v>10</v>
      </c>
    </row>
    <row r="7" spans="1:12" x14ac:dyDescent="0.35">
      <c r="A7" s="15" t="s">
        <v>212</v>
      </c>
      <c r="B7" t="s">
        <v>213</v>
      </c>
      <c r="C7" s="18">
        <v>20</v>
      </c>
    </row>
    <row r="9" spans="1:12" x14ac:dyDescent="0.35">
      <c r="A9" s="28" t="s">
        <v>164</v>
      </c>
      <c r="B9" s="28"/>
      <c r="C9" s="28"/>
    </row>
    <row r="10" spans="1:12" x14ac:dyDescent="0.35">
      <c r="A10" s="15" t="s">
        <v>202</v>
      </c>
      <c r="B10" t="s">
        <v>203</v>
      </c>
      <c r="C10" s="19">
        <f>1/C4</f>
        <v>1.6666666666666668E-3</v>
      </c>
      <c r="D10" s="25" t="s">
        <v>180</v>
      </c>
      <c r="E10" s="25"/>
      <c r="F10" s="25"/>
      <c r="G10" s="25"/>
      <c r="H10" s="25"/>
    </row>
    <row r="11" spans="1:12" x14ac:dyDescent="0.35">
      <c r="A11" s="15" t="s">
        <v>167</v>
      </c>
      <c r="B11" t="s">
        <v>168</v>
      </c>
      <c r="C11" s="19">
        <f>1/C5</f>
        <v>3.3333333333333335E-3</v>
      </c>
      <c r="D11" s="25" t="s">
        <v>180</v>
      </c>
      <c r="E11" s="25"/>
      <c r="F11" s="25"/>
      <c r="G11" s="25"/>
      <c r="H11" s="25"/>
    </row>
    <row r="13" spans="1:12" x14ac:dyDescent="0.35">
      <c r="A13" s="16" t="s">
        <v>163</v>
      </c>
      <c r="B13" s="28" t="s">
        <v>164</v>
      </c>
      <c r="C13" s="28"/>
      <c r="D13" s="28"/>
      <c r="E13" s="31" t="s">
        <v>225</v>
      </c>
      <c r="F13" s="31"/>
      <c r="G13" s="31"/>
      <c r="H13" s="31"/>
      <c r="I13" s="31"/>
      <c r="J13" s="31"/>
      <c r="K13" s="31"/>
      <c r="L13" s="31"/>
    </row>
    <row r="14" spans="1:12" x14ac:dyDescent="0.35">
      <c r="A14" s="17" t="s">
        <v>169</v>
      </c>
      <c r="B14" s="15" t="s">
        <v>161</v>
      </c>
      <c r="C14" s="15" t="s">
        <v>204</v>
      </c>
      <c r="D14" s="15" t="s">
        <v>205</v>
      </c>
      <c r="E14" s="15" t="s">
        <v>206</v>
      </c>
      <c r="F14" s="15" t="s">
        <v>211</v>
      </c>
      <c r="G14" s="15" t="s">
        <v>208</v>
      </c>
      <c r="H14" s="15" t="s">
        <v>209</v>
      </c>
      <c r="I14" s="15" t="s">
        <v>170</v>
      </c>
      <c r="J14" s="15" t="s">
        <v>171</v>
      </c>
      <c r="K14" s="15" t="s">
        <v>172</v>
      </c>
      <c r="L14" s="15" t="s">
        <v>173</v>
      </c>
    </row>
    <row r="15" spans="1:12" x14ac:dyDescent="0.35">
      <c r="A15" t="s">
        <v>159</v>
      </c>
      <c r="B15" t="s">
        <v>3</v>
      </c>
      <c r="C15" t="s">
        <v>0</v>
      </c>
      <c r="D15" t="s">
        <v>178</v>
      </c>
      <c r="E15" t="s">
        <v>207</v>
      </c>
      <c r="F15" t="s">
        <v>210</v>
      </c>
      <c r="G15" t="s">
        <v>3</v>
      </c>
      <c r="H15" t="s">
        <v>178</v>
      </c>
      <c r="I15" t="s">
        <v>177</v>
      </c>
      <c r="J15" t="s">
        <v>176</v>
      </c>
      <c r="K15" t="s">
        <v>175</v>
      </c>
      <c r="L15" t="s">
        <v>174</v>
      </c>
    </row>
    <row r="16" spans="1:12" x14ac:dyDescent="0.35">
      <c r="A16" s="18">
        <v>50</v>
      </c>
      <c r="B16" s="20">
        <f>1/A16</f>
        <v>0.02</v>
      </c>
      <c r="C16" s="21">
        <f>B16/$C$11</f>
        <v>6</v>
      </c>
      <c r="D16" s="22">
        <f>C16/$C$6</f>
        <v>0.6</v>
      </c>
      <c r="E16" s="33">
        <f>MMcKMZustandsP(B16,$C$11,$C$10,$C$6,$C$7,$C$7)</f>
        <v>2.3296950687024362E-5</v>
      </c>
      <c r="F16" s="33">
        <f>ErwErlangC_PA(B16,$C$11,$C$10,$C$6,$C$7)</f>
        <v>8.2493922152403754E-3</v>
      </c>
      <c r="G16" s="34">
        <f>B16*(1-E16)*(1-F16)</f>
        <v>1.9834550060395126E-2</v>
      </c>
      <c r="H16" s="32">
        <f>G16/$C$11/$C$6</f>
        <v>0.59503650181185375</v>
      </c>
      <c r="I16" s="23">
        <f>ErwErlangC_ENQ(B16,$C$11,$C$10,$C$6,$C$7)</f>
        <v>9.8990400354680846E-2</v>
      </c>
      <c r="J16" s="23">
        <f>ErwErlangC_EN(B16,$C$11,$C$10,$C$6,$C$7)</f>
        <v>6.0493554184732181</v>
      </c>
      <c r="K16" s="23">
        <f>ErwErlangC_EW(B16,$C$11,$C$10,$C$6,$C$7)</f>
        <v>4.9495200177340424</v>
      </c>
      <c r="L16" s="23">
        <f>ErwErlangC_EV(B16,$C$11,$C$10,$C$6,$C$7)</f>
        <v>302.46777092366091</v>
      </c>
    </row>
    <row r="17" spans="1:12" x14ac:dyDescent="0.35">
      <c r="A17" s="18">
        <v>49</v>
      </c>
      <c r="B17" s="20">
        <f>1/A17</f>
        <v>2.0408163265306121E-2</v>
      </c>
      <c r="C17" s="21">
        <f>B17/$C$11</f>
        <v>6.1224489795918355</v>
      </c>
      <c r="D17" s="22">
        <f>C17/$C$6</f>
        <v>0.61224489795918358</v>
      </c>
      <c r="E17" s="33">
        <f t="shared" ref="E17:E50" si="0">MMcKMZustandsP(B17,$C$11,$C$10,$C$6,$C$7,$C$7)</f>
        <v>3.084142605285673E-5</v>
      </c>
      <c r="F17" s="33">
        <f t="shared" ref="F17:F35" si="1">ErwErlangC_PA(B17,$C$11,$C$10,$C$6,$C$7)</f>
        <v>9.277608777050252E-3</v>
      </c>
      <c r="G17" s="34">
        <f t="shared" ref="G17:G50" si="2">B17*(1-E17)*(1-F17)</f>
        <v>2.0218200733297588E-2</v>
      </c>
      <c r="H17" s="32">
        <f t="shared" ref="H17:H50" si="3">G17/$C$11/$C$6</f>
        <v>0.6065460219989276</v>
      </c>
      <c r="I17" s="23">
        <f t="shared" ref="I17:I35" si="4">ErwErlangC_ENQ(B17,$C$11,$C$10,$C$6,$C$7)</f>
        <v>0.1135998690901862</v>
      </c>
      <c r="J17" s="23">
        <f t="shared" ref="J17:J35" si="5">ErwErlangC_EN(B17,$C$11,$C$10,$C$6,$C$7)</f>
        <v>6.1790600890794627</v>
      </c>
      <c r="K17" s="23">
        <f t="shared" ref="K17:K35" si="6">ErwErlangC_EW(B17,$C$11,$C$10,$C$6,$C$7)</f>
        <v>5.5663935854191244</v>
      </c>
      <c r="L17" s="23">
        <f t="shared" ref="L17:L35" si="7">ErwErlangC_EV(B17,$C$11,$C$10,$C$6,$C$7)</f>
        <v>302.77394436489368</v>
      </c>
    </row>
    <row r="18" spans="1:12" x14ac:dyDescent="0.35">
      <c r="A18" s="18">
        <v>48</v>
      </c>
      <c r="B18" s="20">
        <f t="shared" ref="B18:B35" si="8">1/A18</f>
        <v>2.0833333333333332E-2</v>
      </c>
      <c r="C18" s="21">
        <f t="shared" ref="C18:C35" si="9">B18/$C$11</f>
        <v>6.2499999999999991</v>
      </c>
      <c r="D18" s="22">
        <f t="shared" ref="D18:D35" si="10">C18/$C$6</f>
        <v>0.62499999999999989</v>
      </c>
      <c r="E18" s="33">
        <f t="shared" si="0"/>
        <v>4.0953668215707646E-5</v>
      </c>
      <c r="F18" s="33">
        <f t="shared" si="1"/>
        <v>1.0444481141773349E-2</v>
      </c>
      <c r="G18" s="34">
        <f t="shared" si="2"/>
        <v>2.0614895686038047E-2</v>
      </c>
      <c r="H18" s="32">
        <f t="shared" si="3"/>
        <v>0.61844687058114134</v>
      </c>
      <c r="I18" s="23">
        <f t="shared" si="4"/>
        <v>0.13055066752447478</v>
      </c>
      <c r="J18" s="23">
        <f t="shared" si="5"/>
        <v>6.315019373335887</v>
      </c>
      <c r="K18" s="23">
        <f t="shared" si="6"/>
        <v>6.2664320411747898</v>
      </c>
      <c r="L18" s="23">
        <f t="shared" si="7"/>
        <v>303.12092992012259</v>
      </c>
    </row>
    <row r="19" spans="1:12" x14ac:dyDescent="0.35">
      <c r="A19" s="18">
        <v>47</v>
      </c>
      <c r="B19" s="20">
        <f t="shared" si="8"/>
        <v>2.1276595744680851E-2</v>
      </c>
      <c r="C19" s="21">
        <f t="shared" si="9"/>
        <v>6.3829787234042543</v>
      </c>
      <c r="D19" s="22">
        <f t="shared" si="10"/>
        <v>0.63829787234042545</v>
      </c>
      <c r="E19" s="33">
        <f t="shared" si="0"/>
        <v>5.454693206839797E-5</v>
      </c>
      <c r="F19" s="33">
        <f t="shared" si="1"/>
        <v>1.1769799144785043E-2</v>
      </c>
      <c r="G19" s="34">
        <f t="shared" si="2"/>
        <v>2.1025027572969805E-2</v>
      </c>
      <c r="H19" s="32">
        <f t="shared" si="3"/>
        <v>0.63075082718909414</v>
      </c>
      <c r="I19" s="23">
        <f t="shared" si="4"/>
        <v>0.15024455921298679</v>
      </c>
      <c r="J19" s="23">
        <f t="shared" si="5"/>
        <v>6.4577528311039263</v>
      </c>
      <c r="K19" s="23">
        <f t="shared" si="6"/>
        <v>7.0614942830103793</v>
      </c>
      <c r="L19" s="23">
        <f t="shared" si="7"/>
        <v>303.51438306188453</v>
      </c>
    </row>
    <row r="20" spans="1:12" x14ac:dyDescent="0.35">
      <c r="A20" s="18">
        <v>46</v>
      </c>
      <c r="B20" s="20">
        <f t="shared" si="8"/>
        <v>2.1739130434782608E-2</v>
      </c>
      <c r="C20" s="21">
        <f t="shared" si="9"/>
        <v>6.5217391304347823</v>
      </c>
      <c r="D20" s="22">
        <f t="shared" si="10"/>
        <v>0.65217391304347827</v>
      </c>
      <c r="E20" s="33">
        <f t="shared" si="0"/>
        <v>7.287151724561876E-5</v>
      </c>
      <c r="F20" s="33">
        <f t="shared" si="1"/>
        <v>1.3276228912549665E-2</v>
      </c>
      <c r="G20" s="34">
        <f t="shared" si="2"/>
        <v>2.1448953631068451E-2</v>
      </c>
      <c r="H20" s="32">
        <f t="shared" si="3"/>
        <v>0.64346860893205349</v>
      </c>
      <c r="I20" s="23">
        <f t="shared" si="4"/>
        <v>0.17315558417746307</v>
      </c>
      <c r="J20" s="23">
        <f t="shared" si="5"/>
        <v>6.6078416734979992</v>
      </c>
      <c r="K20" s="23">
        <f t="shared" si="6"/>
        <v>7.9651568721633019</v>
      </c>
      <c r="L20" s="23">
        <f t="shared" si="7"/>
        <v>303.96071698090799</v>
      </c>
    </row>
    <row r="21" spans="1:12" x14ac:dyDescent="0.35">
      <c r="A21" s="18">
        <v>45</v>
      </c>
      <c r="B21" s="20">
        <f t="shared" si="8"/>
        <v>2.2222222222222223E-2</v>
      </c>
      <c r="C21" s="21">
        <f t="shared" si="9"/>
        <v>6.6666666666666661</v>
      </c>
      <c r="D21" s="22">
        <f t="shared" si="10"/>
        <v>0.66666666666666663</v>
      </c>
      <c r="E21" s="33">
        <f t="shared" si="0"/>
        <v>9.7642652278741001E-5</v>
      </c>
      <c r="F21" s="33">
        <f t="shared" si="1"/>
        <v>1.498970006114703E-2</v>
      </c>
      <c r="G21" s="34">
        <f t="shared" si="2"/>
        <v>2.1886980464903224E-2</v>
      </c>
      <c r="H21" s="32">
        <f t="shared" si="3"/>
        <v>0.65660941394709671</v>
      </c>
      <c r="I21" s="23">
        <f t="shared" si="4"/>
        <v>0.19984315236101594</v>
      </c>
      <c r="J21" s="23">
        <f t="shared" si="5"/>
        <v>6.7659372918319809</v>
      </c>
      <c r="K21" s="23">
        <f t="shared" si="6"/>
        <v>8.9929418562457162</v>
      </c>
      <c r="L21" s="23">
        <f t="shared" si="7"/>
        <v>304.46717813243913</v>
      </c>
    </row>
    <row r="22" spans="1:12" x14ac:dyDescent="0.35">
      <c r="A22" s="18">
        <v>44</v>
      </c>
      <c r="B22" s="20">
        <f t="shared" si="8"/>
        <v>2.2727272727272728E-2</v>
      </c>
      <c r="C22" s="21">
        <f t="shared" si="9"/>
        <v>6.8181818181818183</v>
      </c>
      <c r="D22" s="22">
        <f t="shared" si="10"/>
        <v>0.68181818181818188</v>
      </c>
      <c r="E22" s="33">
        <f t="shared" si="0"/>
        <v>1.3121760591332555E-4</v>
      </c>
      <c r="F22" s="33">
        <f t="shared" si="1"/>
        <v>1.6939824326272081E-2</v>
      </c>
      <c r="G22" s="34">
        <f t="shared" si="2"/>
        <v>2.2339345019795624E-2</v>
      </c>
      <c r="H22" s="32">
        <f t="shared" si="3"/>
        <v>0.6701803505938686</v>
      </c>
      <c r="I22" s="23">
        <f t="shared" si="4"/>
        <v>0.23096729349653733</v>
      </c>
      <c r="J22" s="23">
        <f t="shared" si="5"/>
        <v>6.9327707994352226</v>
      </c>
      <c r="K22" s="23">
        <f t="shared" si="6"/>
        <v>10.162560913847642</v>
      </c>
      <c r="L22" s="23">
        <f t="shared" si="7"/>
        <v>305.04191517514977</v>
      </c>
    </row>
    <row r="23" spans="1:12" x14ac:dyDescent="0.35">
      <c r="A23" s="18">
        <v>43</v>
      </c>
      <c r="B23" s="20">
        <f t="shared" si="8"/>
        <v>2.3255813953488372E-2</v>
      </c>
      <c r="C23" s="21">
        <f t="shared" si="9"/>
        <v>6.9767441860465107</v>
      </c>
      <c r="D23" s="22">
        <f t="shared" si="10"/>
        <v>0.69767441860465107</v>
      </c>
      <c r="E23" s="33">
        <f t="shared" si="0"/>
        <v>1.7684084760852012E-4</v>
      </c>
      <c r="F23" s="33">
        <f t="shared" si="1"/>
        <v>1.9160337041915578E-2</v>
      </c>
      <c r="G23" s="34">
        <f t="shared" si="2"/>
        <v>2.2806190940481835E-2</v>
      </c>
      <c r="H23" s="32">
        <f t="shared" si="3"/>
        <v>0.684185728214455</v>
      </c>
      <c r="I23" s="23">
        <f t="shared" si="4"/>
        <v>0.26730626109310646</v>
      </c>
      <c r="J23" s="23">
        <f t="shared" si="5"/>
        <v>7.1091635432376581</v>
      </c>
      <c r="K23" s="23">
        <f t="shared" si="6"/>
        <v>11.494169227003578</v>
      </c>
      <c r="L23" s="23">
        <f t="shared" si="7"/>
        <v>305.69403235921931</v>
      </c>
    </row>
    <row r="24" spans="1:12" x14ac:dyDescent="0.35">
      <c r="A24" s="18">
        <v>42</v>
      </c>
      <c r="B24" s="20">
        <f t="shared" si="8"/>
        <v>2.3809523809523808E-2</v>
      </c>
      <c r="C24" s="21">
        <f t="shared" si="9"/>
        <v>7.1428571428571423</v>
      </c>
      <c r="D24" s="22">
        <f t="shared" si="10"/>
        <v>0.71428571428571419</v>
      </c>
      <c r="E24" s="33">
        <f t="shared" si="0"/>
        <v>2.3898295506966894E-4</v>
      </c>
      <c r="F24" s="33">
        <f t="shared" si="1"/>
        <v>2.1689545832791059E-2</v>
      </c>
      <c r="G24" s="34">
        <f t="shared" si="2"/>
        <v>2.3287539396283249E-2</v>
      </c>
      <c r="H24" s="32">
        <f t="shared" si="3"/>
        <v>0.69862618188849734</v>
      </c>
      <c r="I24" s="23">
        <f t="shared" si="4"/>
        <v>0.30977660572905441</v>
      </c>
      <c r="J24" s="23">
        <f t="shared" si="5"/>
        <v>7.2960384246140286</v>
      </c>
      <c r="K24" s="23">
        <f t="shared" si="6"/>
        <v>13.010617440620287</v>
      </c>
      <c r="L24" s="23">
        <f t="shared" si="7"/>
        <v>306.4336138337892</v>
      </c>
    </row>
    <row r="25" spans="1:12" x14ac:dyDescent="0.35">
      <c r="A25" s="18">
        <v>41</v>
      </c>
      <c r="B25" s="20">
        <f t="shared" si="8"/>
        <v>2.4390243902439025E-2</v>
      </c>
      <c r="C25" s="21">
        <f t="shared" si="9"/>
        <v>7.3170731707317067</v>
      </c>
      <c r="D25" s="22">
        <f t="shared" si="10"/>
        <v>0.73170731707317072</v>
      </c>
      <c r="E25" s="33">
        <f t="shared" si="0"/>
        <v>3.2380803430487396E-4</v>
      </c>
      <c r="F25" s="33">
        <f t="shared" si="1"/>
        <v>2.4570760635531232E-2</v>
      </c>
      <c r="G25" s="34">
        <f t="shared" si="2"/>
        <v>2.3783253354630895E-2</v>
      </c>
      <c r="H25" s="32">
        <f t="shared" si="3"/>
        <v>0.71349760063892675</v>
      </c>
      <c r="I25" s="23">
        <f t="shared" si="4"/>
        <v>0.35945567452431898</v>
      </c>
      <c r="J25" s="23">
        <f t="shared" si="5"/>
        <v>7.4944316809135865</v>
      </c>
      <c r="K25" s="23">
        <f t="shared" si="6"/>
        <v>14.737682655497078</v>
      </c>
      <c r="L25" s="23">
        <f t="shared" si="7"/>
        <v>307.27169891745706</v>
      </c>
    </row>
    <row r="26" spans="1:12" x14ac:dyDescent="0.35">
      <c r="A26" s="18">
        <v>40</v>
      </c>
      <c r="B26" s="20">
        <f t="shared" si="8"/>
        <v>2.5000000000000001E-2</v>
      </c>
      <c r="C26" s="21">
        <f t="shared" si="9"/>
        <v>7.5</v>
      </c>
      <c r="D26" s="22">
        <f t="shared" si="10"/>
        <v>0.75</v>
      </c>
      <c r="E26" s="33">
        <f t="shared" si="0"/>
        <v>4.3981610030847468E-4</v>
      </c>
      <c r="F26" s="33">
        <f t="shared" si="1"/>
        <v>2.7852664673909362E-2</v>
      </c>
      <c r="G26" s="34">
        <f t="shared" si="2"/>
        <v>2.4292994231903554E-2</v>
      </c>
      <c r="H26" s="32">
        <f t="shared" si="3"/>
        <v>0.72878982695710648</v>
      </c>
      <c r="I26" s="23">
        <f t="shared" si="4"/>
        <v>0.41760621935323905</v>
      </c>
      <c r="J26" s="23">
        <f t="shared" si="5"/>
        <v>7.7055044889243067</v>
      </c>
      <c r="K26" s="23">
        <f t="shared" si="6"/>
        <v>16.70424877412956</v>
      </c>
      <c r="L26" s="23">
        <f t="shared" si="7"/>
        <v>308.22017955697225</v>
      </c>
    </row>
    <row r="27" spans="1:12" x14ac:dyDescent="0.35">
      <c r="A27" s="18">
        <v>39</v>
      </c>
      <c r="B27" s="20">
        <f t="shared" si="8"/>
        <v>2.564102564102564E-2</v>
      </c>
      <c r="C27" s="21">
        <f t="shared" si="9"/>
        <v>7.6923076923076916</v>
      </c>
      <c r="D27" s="22">
        <f t="shared" si="10"/>
        <v>0.76923076923076916</v>
      </c>
      <c r="E27" s="33">
        <f t="shared" si="0"/>
        <v>5.9872142266259652E-4</v>
      </c>
      <c r="F27" s="33">
        <f t="shared" si="1"/>
        <v>3.1589566129218198E-2</v>
      </c>
      <c r="G27" s="34">
        <f t="shared" si="2"/>
        <v>2.4816169892258808E-2</v>
      </c>
      <c r="H27" s="32">
        <f t="shared" si="3"/>
        <v>0.7444850967677642</v>
      </c>
      <c r="I27" s="23">
        <f t="shared" si="4"/>
        <v>0.485702350449908</v>
      </c>
      <c r="J27" s="23">
        <f t="shared" si="5"/>
        <v>7.9305533181275516</v>
      </c>
      <c r="K27" s="23">
        <f t="shared" si="6"/>
        <v>18.942391667546413</v>
      </c>
      <c r="L27" s="23">
        <f t="shared" si="7"/>
        <v>309.29157940697451</v>
      </c>
    </row>
    <row r="28" spans="1:12" x14ac:dyDescent="0.35">
      <c r="A28" s="18">
        <v>38</v>
      </c>
      <c r="B28" s="20">
        <f t="shared" si="8"/>
        <v>2.6315789473684209E-2</v>
      </c>
      <c r="C28" s="21">
        <f t="shared" si="9"/>
        <v>7.8947368421052619</v>
      </c>
      <c r="D28" s="22">
        <f t="shared" si="10"/>
        <v>0.78947368421052622</v>
      </c>
      <c r="E28" s="33">
        <f t="shared" si="0"/>
        <v>8.1664508509925778E-4</v>
      </c>
      <c r="F28" s="33">
        <f t="shared" si="1"/>
        <v>3.5841443893546779E-2</v>
      </c>
      <c r="G28" s="34">
        <f t="shared" si="2"/>
        <v>2.5351873177904008E-2</v>
      </c>
      <c r="H28" s="32">
        <f t="shared" si="3"/>
        <v>0.76055619533712027</v>
      </c>
      <c r="I28" s="23">
        <f t="shared" si="4"/>
        <v>0.56545538138760398</v>
      </c>
      <c r="J28" s="23">
        <f t="shared" si="5"/>
        <v>8.1710173347588029</v>
      </c>
      <c r="K28" s="23">
        <f t="shared" si="6"/>
        <v>21.487304492728953</v>
      </c>
      <c r="L28" s="23">
        <f t="shared" si="7"/>
        <v>310.4986587208345</v>
      </c>
    </row>
    <row r="29" spans="1:12" x14ac:dyDescent="0.35">
      <c r="A29" s="18">
        <v>37</v>
      </c>
      <c r="B29" s="20">
        <f t="shared" si="8"/>
        <v>2.7027027027027029E-2</v>
      </c>
      <c r="C29" s="21">
        <f t="shared" si="9"/>
        <v>8.1081081081081088</v>
      </c>
      <c r="D29" s="22">
        <f t="shared" si="10"/>
        <v>0.81081081081081086</v>
      </c>
      <c r="E29" s="33">
        <f t="shared" si="0"/>
        <v>1.1157188189644983E-3</v>
      </c>
      <c r="F29" s="33">
        <f t="shared" si="1"/>
        <v>4.0673667384448574E-2</v>
      </c>
      <c r="G29" s="34">
        <f t="shared" si="2"/>
        <v>2.5898810653316867E-2</v>
      </c>
      <c r="H29" s="32">
        <f t="shared" si="3"/>
        <v>0.77696431959950596</v>
      </c>
      <c r="I29" s="23">
        <f t="shared" si="4"/>
        <v>0.65883708662126683</v>
      </c>
      <c r="J29" s="23">
        <f t="shared" si="5"/>
        <v>8.428480282616329</v>
      </c>
      <c r="K29" s="23">
        <f t="shared" si="6"/>
        <v>24.37697220498687</v>
      </c>
      <c r="L29" s="23">
        <f t="shared" si="7"/>
        <v>311.85377045680417</v>
      </c>
    </row>
    <row r="30" spans="1:12" x14ac:dyDescent="0.35">
      <c r="A30" s="18">
        <v>36</v>
      </c>
      <c r="B30" s="20">
        <f t="shared" si="8"/>
        <v>2.7777777777777776E-2</v>
      </c>
      <c r="C30" s="21">
        <f t="shared" si="9"/>
        <v>8.3333333333333321</v>
      </c>
      <c r="D30" s="22">
        <f t="shared" si="10"/>
        <v>0.83333333333333326</v>
      </c>
      <c r="E30" s="33">
        <f t="shared" si="0"/>
        <v>1.5262146814309892E-3</v>
      </c>
      <c r="F30" s="33">
        <f t="shared" si="1"/>
        <v>4.6156230589959747E-2</v>
      </c>
      <c r="G30" s="34">
        <f t="shared" si="2"/>
        <v>2.6455222195704866E-2</v>
      </c>
      <c r="H30" s="32">
        <f t="shared" si="3"/>
        <v>0.79365666587114592</v>
      </c>
      <c r="I30" s="23">
        <f t="shared" si="4"/>
        <v>0.76809643788656379</v>
      </c>
      <c r="J30" s="23">
        <f t="shared" si="5"/>
        <v>8.7046630965980203</v>
      </c>
      <c r="K30" s="23">
        <f t="shared" si="6"/>
        <v>27.651471763916298</v>
      </c>
      <c r="L30" s="23">
        <f t="shared" si="7"/>
        <v>313.36787147752875</v>
      </c>
    </row>
    <row r="31" spans="1:12" x14ac:dyDescent="0.35">
      <c r="A31" s="18">
        <v>35</v>
      </c>
      <c r="B31" s="20">
        <f t="shared" si="8"/>
        <v>2.8571428571428571E-2</v>
      </c>
      <c r="C31" s="21">
        <f t="shared" si="9"/>
        <v>8.5714285714285712</v>
      </c>
      <c r="D31" s="22">
        <f t="shared" si="10"/>
        <v>0.8571428571428571</v>
      </c>
      <c r="E31" s="33">
        <f t="shared" si="0"/>
        <v>2.0893255467376286E-3</v>
      </c>
      <c r="F31" s="33">
        <f t="shared" si="1"/>
        <v>5.2362297447471867E-2</v>
      </c>
      <c r="G31" s="34">
        <f t="shared" si="2"/>
        <v>2.7018793682615241E-2</v>
      </c>
      <c r="H31" s="32">
        <f t="shared" si="3"/>
        <v>0.81056381047845716</v>
      </c>
      <c r="I31" s="23">
        <f t="shared" si="4"/>
        <v>0.89576392391535398</v>
      </c>
      <c r="J31" s="23">
        <f t="shared" si="5"/>
        <v>9.0014020286999266</v>
      </c>
      <c r="K31" s="23">
        <f t="shared" si="6"/>
        <v>31.351737337037392</v>
      </c>
      <c r="L31" s="23">
        <f t="shared" si="7"/>
        <v>315.04907100449742</v>
      </c>
    </row>
    <row r="32" spans="1:12" x14ac:dyDescent="0.35">
      <c r="A32" s="18">
        <v>34</v>
      </c>
      <c r="B32" s="20">
        <f t="shared" si="8"/>
        <v>2.9411764705882353E-2</v>
      </c>
      <c r="C32" s="21">
        <f t="shared" si="9"/>
        <v>8.8235294117647047</v>
      </c>
      <c r="D32" s="22">
        <f t="shared" si="10"/>
        <v>0.88235294117647045</v>
      </c>
      <c r="E32" s="33">
        <f t="shared" si="0"/>
        <v>2.8607143142734895E-3</v>
      </c>
      <c r="F32" s="33">
        <f t="shared" si="1"/>
        <v>5.9365816812371429E-2</v>
      </c>
      <c r="G32" s="34">
        <f t="shared" si="2"/>
        <v>2.7586567573979079E-2</v>
      </c>
      <c r="H32" s="32">
        <f t="shared" si="3"/>
        <v>0.82759702721937223</v>
      </c>
      <c r="I32" s="23">
        <f t="shared" si="4"/>
        <v>1.0446350853606658</v>
      </c>
      <c r="J32" s="23">
        <f t="shared" si="5"/>
        <v>9.3206053575543901</v>
      </c>
      <c r="K32" s="23">
        <f t="shared" si="6"/>
        <v>35.517592902262642</v>
      </c>
      <c r="L32" s="23">
        <f t="shared" si="7"/>
        <v>316.90058215684928</v>
      </c>
    </row>
    <row r="33" spans="1:12" x14ac:dyDescent="0.35">
      <c r="A33" s="18">
        <v>33</v>
      </c>
      <c r="B33" s="20">
        <f t="shared" si="8"/>
        <v>3.0303030303030304E-2</v>
      </c>
      <c r="C33" s="21">
        <f t="shared" si="9"/>
        <v>9.0909090909090899</v>
      </c>
      <c r="D33" s="22">
        <f t="shared" si="10"/>
        <v>0.90909090909090895</v>
      </c>
      <c r="E33" s="33">
        <f t="shared" si="0"/>
        <v>3.9149086487129201E-3</v>
      </c>
      <c r="F33" s="33">
        <f t="shared" si="1"/>
        <v>6.7237944778836295E-2</v>
      </c>
      <c r="G33" s="34">
        <f t="shared" si="2"/>
        <v>2.8154859908605671E-2</v>
      </c>
      <c r="H33" s="32">
        <f t="shared" si="3"/>
        <v>0.84464579725817013</v>
      </c>
      <c r="I33" s="23">
        <f t="shared" si="4"/>
        <v>1.2177220794054535</v>
      </c>
      <c r="J33" s="23">
        <f t="shared" si="5"/>
        <v>9.6641800519871506</v>
      </c>
      <c r="K33" s="23">
        <f t="shared" si="6"/>
        <v>40.184828620379967</v>
      </c>
      <c r="L33" s="23">
        <f t="shared" si="7"/>
        <v>318.91794171557598</v>
      </c>
    </row>
    <row r="34" spans="1:12" x14ac:dyDescent="0.35">
      <c r="A34" s="18">
        <v>32</v>
      </c>
      <c r="B34" s="20">
        <f t="shared" si="8"/>
        <v>3.125E-2</v>
      </c>
      <c r="C34" s="21">
        <f t="shared" si="9"/>
        <v>9.375</v>
      </c>
      <c r="D34" s="22">
        <f t="shared" si="10"/>
        <v>0.9375</v>
      </c>
      <c r="E34" s="33">
        <f t="shared" si="0"/>
        <v>5.3505192969651814E-3</v>
      </c>
      <c r="F34" s="33">
        <f t="shared" si="1"/>
        <v>7.6042033002705664E-2</v>
      </c>
      <c r="G34" s="34">
        <f t="shared" si="2"/>
        <v>2.8719197252040331E-2</v>
      </c>
      <c r="H34" s="32">
        <f t="shared" si="3"/>
        <v>0.86157591756120999</v>
      </c>
      <c r="I34" s="23">
        <f t="shared" si="4"/>
        <v>1.4181594119577035</v>
      </c>
      <c r="J34" s="23">
        <f t="shared" si="5"/>
        <v>10.033918587569808</v>
      </c>
      <c r="K34" s="23">
        <f t="shared" si="6"/>
        <v>45.38110118264651</v>
      </c>
      <c r="L34" s="23">
        <f t="shared" si="7"/>
        <v>321.08539480223385</v>
      </c>
    </row>
    <row r="35" spans="1:12" x14ac:dyDescent="0.35">
      <c r="A35" s="18">
        <v>31</v>
      </c>
      <c r="B35" s="20">
        <f t="shared" si="8"/>
        <v>3.2258064516129031E-2</v>
      </c>
      <c r="C35" s="21">
        <f t="shared" si="9"/>
        <v>9.6774193548387082</v>
      </c>
      <c r="D35" s="22">
        <f t="shared" si="10"/>
        <v>0.96774193548387077</v>
      </c>
      <c r="E35" s="33">
        <f t="shared" si="0"/>
        <v>7.2960746452079943E-3</v>
      </c>
      <c r="F35" s="33">
        <f t="shared" si="1"/>
        <v>8.5827036467534742E-2</v>
      </c>
      <c r="G35" s="34">
        <f t="shared" si="2"/>
        <v>2.9274293204900045E-2</v>
      </c>
      <c r="H35" s="32">
        <f t="shared" si="3"/>
        <v>0.87822879614700133</v>
      </c>
      <c r="I35" s="23">
        <f t="shared" si="4"/>
        <v>1.6490484387656248</v>
      </c>
      <c r="J35" s="23">
        <f t="shared" si="5"/>
        <v>10.43133640023564</v>
      </c>
      <c r="K35" s="23">
        <f t="shared" si="6"/>
        <v>51.120501601734368</v>
      </c>
      <c r="L35" s="23">
        <f t="shared" si="7"/>
        <v>323.37142840730485</v>
      </c>
    </row>
    <row r="36" spans="1:12" x14ac:dyDescent="0.35">
      <c r="A36" s="18">
        <v>30</v>
      </c>
      <c r="B36" s="20">
        <f t="shared" ref="B36:B41" si="11">1/A36</f>
        <v>3.3333333333333333E-2</v>
      </c>
      <c r="C36" s="21">
        <f t="shared" ref="C36:C41" si="12">B36/$C$11</f>
        <v>10</v>
      </c>
      <c r="D36" s="22">
        <f t="shared" ref="D36:D41" si="13">C36/$C$6</f>
        <v>1</v>
      </c>
      <c r="E36" s="33">
        <f t="shared" si="0"/>
        <v>9.9159657319700962E-3</v>
      </c>
      <c r="F36" s="33">
        <f t="shared" ref="F36:F41" si="14">ErwErlangC_PA(B36,$C$11,$C$10,$C$6,$C$7)</f>
        <v>9.6619401000993699E-2</v>
      </c>
      <c r="G36" s="34">
        <f t="shared" si="2"/>
        <v>2.9814090264546848E-2</v>
      </c>
      <c r="H36" s="32">
        <f t="shared" si="3"/>
        <v>0.89442270793640544</v>
      </c>
      <c r="I36" s="23">
        <f t="shared" ref="I36:I41" si="15">ErwErlangC_ENQ(B36,$C$11,$C$10,$C$6,$C$7)</f>
        <v>1.9132265266324868</v>
      </c>
      <c r="J36" s="23">
        <f t="shared" ref="J36:J41" si="16">ErwErlangC_EN(B36,$C$11,$C$10,$C$6,$C$7)</f>
        <v>10.857453605996547</v>
      </c>
      <c r="K36" s="23">
        <f t="shared" ref="K36:K41" si="17">ErwErlangC_EW(B36,$C$11,$C$10,$C$6,$C$7)</f>
        <v>57.396795798974608</v>
      </c>
      <c r="L36" s="23">
        <f t="shared" ref="L36:L41" si="18">ErwErlangC_EV(B36,$C$11,$C$10,$C$6,$C$7)</f>
        <v>325.72360817989642</v>
      </c>
    </row>
    <row r="37" spans="1:12" x14ac:dyDescent="0.35">
      <c r="A37" s="18">
        <v>29</v>
      </c>
      <c r="B37" s="20">
        <f t="shared" si="11"/>
        <v>3.4482758620689655E-2</v>
      </c>
      <c r="C37" s="21">
        <f t="shared" si="12"/>
        <v>10.344827586206895</v>
      </c>
      <c r="D37" s="22">
        <f t="shared" si="13"/>
        <v>1.0344827586206895</v>
      </c>
      <c r="E37" s="33">
        <f t="shared" si="0"/>
        <v>1.3415578100310408E-2</v>
      </c>
      <c r="F37" s="33">
        <f t="shared" si="14"/>
        <v>0.10841384135768703</v>
      </c>
      <c r="G37" s="34">
        <f t="shared" si="2"/>
        <v>3.0331897065444525E-2</v>
      </c>
      <c r="H37" s="32">
        <f t="shared" si="3"/>
        <v>0.90995691196333561</v>
      </c>
      <c r="I37" s="23">
        <f t="shared" si="15"/>
        <v>2.2129532483130685</v>
      </c>
      <c r="J37" s="23">
        <f t="shared" si="16"/>
        <v>11.312522367946427</v>
      </c>
      <c r="K37" s="23">
        <f t="shared" si="17"/>
        <v>64.175644201078981</v>
      </c>
      <c r="L37" s="23">
        <f t="shared" si="18"/>
        <v>328.06314867044637</v>
      </c>
    </row>
    <row r="38" spans="1:12" x14ac:dyDescent="0.35">
      <c r="A38" s="18">
        <v>28</v>
      </c>
      <c r="B38" s="20">
        <f t="shared" si="11"/>
        <v>3.5714285714285712E-2</v>
      </c>
      <c r="C38" s="21">
        <f t="shared" si="12"/>
        <v>10.714285714285714</v>
      </c>
      <c r="D38" s="22">
        <f t="shared" si="13"/>
        <v>1.0714285714285714</v>
      </c>
      <c r="E38" s="33">
        <f t="shared" si="0"/>
        <v>1.8044193198007881E-2</v>
      </c>
      <c r="F38" s="33">
        <f t="shared" si="14"/>
        <v>0.12116391582596106</v>
      </c>
      <c r="G38" s="34">
        <f t="shared" si="2"/>
        <v>3.0820649860065063E-2</v>
      </c>
      <c r="H38" s="32">
        <f t="shared" si="3"/>
        <v>0.92461949580195191</v>
      </c>
      <c r="I38" s="23">
        <f t="shared" si="15"/>
        <v>2.5495202297179338</v>
      </c>
      <c r="J38" s="23">
        <f t="shared" si="16"/>
        <v>11.795715187737455</v>
      </c>
      <c r="K38" s="23">
        <f t="shared" si="17"/>
        <v>71.386566432102157</v>
      </c>
      <c r="L38" s="23">
        <f t="shared" si="18"/>
        <v>330.28002525664874</v>
      </c>
    </row>
    <row r="39" spans="1:12" x14ac:dyDescent="0.35">
      <c r="A39" s="18">
        <v>27</v>
      </c>
      <c r="B39" s="20">
        <f t="shared" si="11"/>
        <v>3.7037037037037035E-2</v>
      </c>
      <c r="C39" s="21">
        <f t="shared" si="12"/>
        <v>11.111111111111109</v>
      </c>
      <c r="D39" s="22">
        <f t="shared" si="13"/>
        <v>1.1111111111111109</v>
      </c>
      <c r="E39" s="33">
        <f t="shared" si="0"/>
        <v>2.4093802095023237E-2</v>
      </c>
      <c r="F39" s="33">
        <f t="shared" si="14"/>
        <v>0.1347738795168795</v>
      </c>
      <c r="G39" s="34">
        <f t="shared" si="2"/>
        <v>3.1273316058102053E-2</v>
      </c>
      <c r="H39" s="32">
        <f t="shared" si="3"/>
        <v>0.93819948174306167</v>
      </c>
      <c r="I39" s="23">
        <f t="shared" si="15"/>
        <v>2.9228147630271395</v>
      </c>
      <c r="J39" s="23">
        <f t="shared" si="16"/>
        <v>12.304809580457755</v>
      </c>
      <c r="K39" s="23">
        <f t="shared" si="17"/>
        <v>78.915998601732767</v>
      </c>
      <c r="L39" s="23">
        <f t="shared" si="18"/>
        <v>332.2298586723594</v>
      </c>
    </row>
    <row r="40" spans="1:12" x14ac:dyDescent="0.35">
      <c r="A40" s="18">
        <v>26</v>
      </c>
      <c r="B40" s="20">
        <f t="shared" si="11"/>
        <v>3.8461538461538464E-2</v>
      </c>
      <c r="C40" s="21">
        <f t="shared" si="12"/>
        <v>11.538461538461538</v>
      </c>
      <c r="D40" s="22">
        <f t="shared" si="13"/>
        <v>1.1538461538461537</v>
      </c>
      <c r="E40" s="33">
        <f t="shared" si="0"/>
        <v>3.1891824644963332E-2</v>
      </c>
      <c r="F40" s="33">
        <f t="shared" si="14"/>
        <v>0.14909379693625846</v>
      </c>
      <c r="G40" s="34">
        <f t="shared" si="2"/>
        <v>3.1683432755627738E-2</v>
      </c>
      <c r="H40" s="32">
        <f t="shared" si="3"/>
        <v>0.95050298266883215</v>
      </c>
      <c r="I40" s="23">
        <f t="shared" si="15"/>
        <v>3.330898239431896</v>
      </c>
      <c r="J40" s="23">
        <f t="shared" si="16"/>
        <v>12.835928066120218</v>
      </c>
      <c r="K40" s="23">
        <f t="shared" si="17"/>
        <v>86.603354225229296</v>
      </c>
      <c r="L40" s="23">
        <f t="shared" si="18"/>
        <v>333.73412971912563</v>
      </c>
    </row>
    <row r="41" spans="1:12" x14ac:dyDescent="0.35">
      <c r="A41" s="18">
        <v>25</v>
      </c>
      <c r="B41" s="20">
        <f t="shared" si="11"/>
        <v>0.04</v>
      </c>
      <c r="C41" s="21">
        <f t="shared" si="12"/>
        <v>12</v>
      </c>
      <c r="D41" s="22">
        <f t="shared" si="13"/>
        <v>1.2</v>
      </c>
      <c r="E41" s="33">
        <f t="shared" si="0"/>
        <v>4.178617642445738E-2</v>
      </c>
      <c r="F41" s="33">
        <f t="shared" si="14"/>
        <v>0.16392006258333225</v>
      </c>
      <c r="G41" s="34">
        <f t="shared" si="2"/>
        <v>3.2045734145873021E-2</v>
      </c>
      <c r="H41" s="32">
        <f t="shared" si="3"/>
        <v>0.96137202437619051</v>
      </c>
      <c r="I41" s="23">
        <f t="shared" si="15"/>
        <v>3.769691278289208</v>
      </c>
      <c r="J41" s="23">
        <f t="shared" si="16"/>
        <v>13.383411522051112</v>
      </c>
      <c r="K41" s="23">
        <f t="shared" si="17"/>
        <v>94.242281957230205</v>
      </c>
      <c r="L41" s="23">
        <f t="shared" si="18"/>
        <v>334.58528805127781</v>
      </c>
    </row>
    <row r="42" spans="1:12" x14ac:dyDescent="0.35">
      <c r="A42" s="18">
        <v>24</v>
      </c>
      <c r="B42" s="20">
        <f t="shared" ref="B42:B50" si="19">1/A42</f>
        <v>4.1666666666666664E-2</v>
      </c>
      <c r="C42" s="21">
        <f t="shared" ref="C42:C50" si="20">B42/$C$11</f>
        <v>12.499999999999998</v>
      </c>
      <c r="D42" s="22">
        <f t="shared" ref="D42:D50" si="21">C42/$C$6</f>
        <v>1.2499999999999998</v>
      </c>
      <c r="E42" s="33">
        <f t="shared" si="0"/>
        <v>5.4122421204056297E-2</v>
      </c>
      <c r="F42" s="33">
        <f t="shared" ref="F42:F50" si="22">ErwErlangC_PA(B42,$C$11,$C$10,$C$6,$C$7)</f>
        <v>0.17900303927604155</v>
      </c>
      <c r="G42" s="34">
        <f t="shared" si="2"/>
        <v>3.2356775725350263E-2</v>
      </c>
      <c r="H42" s="32">
        <f t="shared" si="3"/>
        <v>0.97070327176050797</v>
      </c>
      <c r="I42" s="23">
        <f t="shared" ref="I42:I50" si="23">ErwErlangC_ENQ(B42,$C$11,$C$10,$C$6,$C$7)</f>
        <v>4.2328740346884342</v>
      </c>
      <c r="J42" s="23">
        <f t="shared" ref="J42:J50" si="24">ErwErlangC_EN(B42,$C$11,$C$10,$C$6,$C$7)</f>
        <v>13.93990675229351</v>
      </c>
      <c r="K42" s="23">
        <f t="shared" ref="K42:K50" si="25">ErwErlangC_EW(B42,$C$11,$C$10,$C$6,$C$7)</f>
        <v>101.58897683252242</v>
      </c>
      <c r="L42" s="23">
        <f t="shared" ref="L42:L50" si="26">ErwErlangC_EV(B42,$C$11,$C$10,$C$6,$C$7)</f>
        <v>334.55776205504424</v>
      </c>
    </row>
    <row r="43" spans="1:12" x14ac:dyDescent="0.35">
      <c r="A43" s="18">
        <v>23</v>
      </c>
      <c r="B43" s="20">
        <f t="shared" si="19"/>
        <v>4.3478260869565216E-2</v>
      </c>
      <c r="C43" s="21">
        <f t="shared" si="20"/>
        <v>13.043478260869565</v>
      </c>
      <c r="D43" s="22">
        <f t="shared" si="21"/>
        <v>1.3043478260869565</v>
      </c>
      <c r="E43" s="33">
        <f t="shared" si="0"/>
        <v>6.9214849689281516E-2</v>
      </c>
      <c r="F43" s="33">
        <f t="shared" si="22"/>
        <v>0.19406232567555762</v>
      </c>
      <c r="G43" s="34">
        <f t="shared" si="2"/>
        <v>3.2615426927702043E-2</v>
      </c>
      <c r="H43" s="32">
        <f t="shared" si="3"/>
        <v>0.97846280783106132</v>
      </c>
      <c r="I43" s="23">
        <f t="shared" si="23"/>
        <v>4.7120955906149087</v>
      </c>
      <c r="J43" s="23">
        <f t="shared" si="24"/>
        <v>14.496723668925524</v>
      </c>
      <c r="K43" s="23">
        <f t="shared" si="25"/>
        <v>108.37819858414291</v>
      </c>
      <c r="L43" s="23">
        <f t="shared" si="26"/>
        <v>333.42464438528708</v>
      </c>
    </row>
    <row r="44" spans="1:12" x14ac:dyDescent="0.35">
      <c r="A44" s="18">
        <v>22</v>
      </c>
      <c r="B44" s="20">
        <f t="shared" si="19"/>
        <v>4.5454545454545456E-2</v>
      </c>
      <c r="C44" s="21">
        <f t="shared" si="20"/>
        <v>13.636363636363637</v>
      </c>
      <c r="D44" s="22">
        <f t="shared" si="21"/>
        <v>1.3636363636363638</v>
      </c>
      <c r="E44" s="33">
        <f t="shared" si="0"/>
        <v>8.7315709911014339E-2</v>
      </c>
      <c r="F44" s="33">
        <f t="shared" si="22"/>
        <v>0.20880835591152902</v>
      </c>
      <c r="G44" s="34">
        <f t="shared" si="2"/>
        <v>3.2823099273146528E-2</v>
      </c>
      <c r="H44" s="32">
        <f t="shared" si="3"/>
        <v>0.98469297819439583</v>
      </c>
      <c r="I44" s="23">
        <f t="shared" si="23"/>
        <v>5.1975301658116937</v>
      </c>
      <c r="J44" s="23">
        <f t="shared" si="24"/>
        <v>15.044459947755652</v>
      </c>
      <c r="K44" s="23">
        <f t="shared" si="25"/>
        <v>114.34566364785726</v>
      </c>
      <c r="L44" s="23">
        <f t="shared" si="26"/>
        <v>330.9781188506243</v>
      </c>
    </row>
    <row r="45" spans="1:12" x14ac:dyDescent="0.35">
      <c r="A45" s="18">
        <v>21</v>
      </c>
      <c r="B45" s="20">
        <f t="shared" si="19"/>
        <v>4.7619047619047616E-2</v>
      </c>
      <c r="C45" s="21">
        <f t="shared" si="20"/>
        <v>14.285714285714285</v>
      </c>
      <c r="D45" s="22">
        <f t="shared" si="21"/>
        <v>1.4285714285714284</v>
      </c>
      <c r="E45" s="33">
        <f t="shared" si="0"/>
        <v>0.1085885028705908</v>
      </c>
      <c r="F45" s="33">
        <f t="shared" si="22"/>
        <v>0.22296714075873009</v>
      </c>
      <c r="G45" s="34">
        <f t="shared" si="2"/>
        <v>3.2983620208333606E-2</v>
      </c>
      <c r="H45" s="32">
        <f t="shared" si="3"/>
        <v>0.98950860625000803</v>
      </c>
      <c r="I45" s="23">
        <f t="shared" si="23"/>
        <v>5.6787277929829507</v>
      </c>
      <c r="J45" s="23">
        <f t="shared" si="24"/>
        <v>15.573813855483035</v>
      </c>
      <c r="K45" s="23">
        <f t="shared" si="25"/>
        <v>119.25328365264197</v>
      </c>
      <c r="L45" s="23">
        <f t="shared" si="26"/>
        <v>327.05009096514374</v>
      </c>
    </row>
    <row r="46" spans="1:12" x14ac:dyDescent="0.35">
      <c r="A46" s="18">
        <v>20</v>
      </c>
      <c r="B46" s="20">
        <f t="shared" si="19"/>
        <v>0.05</v>
      </c>
      <c r="C46" s="21">
        <f t="shared" si="20"/>
        <v>15</v>
      </c>
      <c r="D46" s="22">
        <f t="shared" si="21"/>
        <v>1.5</v>
      </c>
      <c r="E46" s="33">
        <f t="shared" si="0"/>
        <v>0.13309123917596885</v>
      </c>
      <c r="F46" s="33">
        <f t="shared" si="22"/>
        <v>0.23630373253344256</v>
      </c>
      <c r="G46" s="34">
        <f t="shared" si="2"/>
        <v>3.3102749243768562E-2</v>
      </c>
      <c r="H46" s="32">
        <f t="shared" si="3"/>
        <v>0.99308247731305666</v>
      </c>
      <c r="I46" s="23">
        <f t="shared" si="23"/>
        <v>6.1456132784597992</v>
      </c>
      <c r="J46" s="23">
        <f t="shared" si="24"/>
        <v>16.076438051590372</v>
      </c>
      <c r="K46" s="23">
        <f t="shared" si="25"/>
        <v>122.91226556919598</v>
      </c>
      <c r="L46" s="23">
        <f t="shared" si="26"/>
        <v>321.52876103180745</v>
      </c>
    </row>
    <row r="47" spans="1:12" x14ac:dyDescent="0.35">
      <c r="A47" s="18">
        <v>19</v>
      </c>
      <c r="B47" s="20">
        <f t="shared" si="19"/>
        <v>5.2631578947368418E-2</v>
      </c>
      <c r="C47" s="21">
        <f t="shared" si="20"/>
        <v>15.789473684210524</v>
      </c>
      <c r="D47" s="22">
        <f t="shared" si="21"/>
        <v>1.5789473684210524</v>
      </c>
      <c r="E47" s="33">
        <f t="shared" si="0"/>
        <v>0.16077344326577778</v>
      </c>
      <c r="F47" s="33">
        <f t="shared" si="22"/>
        <v>0.24864004250065294</v>
      </c>
      <c r="G47" s="34">
        <f t="shared" si="2"/>
        <v>3.3187433157902554E-2</v>
      </c>
      <c r="H47" s="32">
        <f t="shared" si="3"/>
        <v>0.99562299473707649</v>
      </c>
      <c r="I47" s="23">
        <f t="shared" si="23"/>
        <v>6.5894313705496934</v>
      </c>
      <c r="J47" s="23">
        <f t="shared" si="24"/>
        <v>16.545661317920459</v>
      </c>
      <c r="K47" s="23">
        <f t="shared" si="25"/>
        <v>125.19919604044418</v>
      </c>
      <c r="L47" s="23">
        <f t="shared" si="26"/>
        <v>314.36756504048873</v>
      </c>
    </row>
    <row r="48" spans="1:12" x14ac:dyDescent="0.35">
      <c r="A48" s="18">
        <v>18</v>
      </c>
      <c r="B48" s="20">
        <f t="shared" si="19"/>
        <v>5.5555555555555552E-2</v>
      </c>
      <c r="C48" s="21">
        <f t="shared" si="20"/>
        <v>16.666666666666664</v>
      </c>
      <c r="D48" s="22">
        <f t="shared" si="21"/>
        <v>1.6666666666666665</v>
      </c>
      <c r="E48" s="33">
        <f t="shared" si="0"/>
        <v>0.1914871468155733</v>
      </c>
      <c r="F48" s="33">
        <f t="shared" si="22"/>
        <v>0.25986404833211363</v>
      </c>
      <c r="G48" s="34">
        <f t="shared" si="2"/>
        <v>3.3244968334854096E-2</v>
      </c>
      <c r="H48" s="32">
        <f t="shared" si="3"/>
        <v>0.9973490500456228</v>
      </c>
      <c r="I48" s="23">
        <f t="shared" si="23"/>
        <v>7.0034474385684309</v>
      </c>
      <c r="J48" s="23">
        <f t="shared" si="24"/>
        <v>16.976937939024662</v>
      </c>
      <c r="K48" s="23">
        <f t="shared" si="25"/>
        <v>126.06205389423177</v>
      </c>
      <c r="L48" s="23">
        <f t="shared" si="26"/>
        <v>305.58488290244395</v>
      </c>
    </row>
    <row r="49" spans="1:12" x14ac:dyDescent="0.35">
      <c r="A49" s="18">
        <v>17</v>
      </c>
      <c r="B49" s="20">
        <f t="shared" si="19"/>
        <v>5.8823529411764705E-2</v>
      </c>
      <c r="C49" s="21">
        <f t="shared" si="20"/>
        <v>17.647058823529409</v>
      </c>
      <c r="D49" s="22">
        <f t="shared" si="21"/>
        <v>1.7647058823529409</v>
      </c>
      <c r="E49" s="33">
        <f t="shared" si="0"/>
        <v>0.22500857576093328</v>
      </c>
      <c r="F49" s="33">
        <f t="shared" si="22"/>
        <v>0.26992966819177744</v>
      </c>
      <c r="G49" s="34">
        <f t="shared" si="2"/>
        <v>3.3282249778984849E-2</v>
      </c>
      <c r="H49" s="32">
        <f t="shared" si="3"/>
        <v>0.99846749336954532</v>
      </c>
      <c r="I49" s="23">
        <f t="shared" si="23"/>
        <v>7.383288635164388</v>
      </c>
      <c r="J49" s="23">
        <f t="shared" si="24"/>
        <v>17.367963568859842</v>
      </c>
      <c r="K49" s="23">
        <f t="shared" si="25"/>
        <v>125.5159067977946</v>
      </c>
      <c r="L49" s="23">
        <f t="shared" si="26"/>
        <v>295.25538067061734</v>
      </c>
    </row>
    <row r="50" spans="1:12" x14ac:dyDescent="0.35">
      <c r="A50" s="18">
        <v>16</v>
      </c>
      <c r="B50" s="20">
        <f t="shared" si="19"/>
        <v>6.25E-2</v>
      </c>
      <c r="C50" s="21">
        <f t="shared" si="20"/>
        <v>18.75</v>
      </c>
      <c r="D50" s="22">
        <f t="shared" si="21"/>
        <v>1.875</v>
      </c>
      <c r="E50" s="33">
        <f t="shared" si="0"/>
        <v>0.2610651125313258</v>
      </c>
      <c r="F50" s="33">
        <f t="shared" si="22"/>
        <v>0.27884877454440932</v>
      </c>
      <c r="G50" s="34">
        <f t="shared" si="2"/>
        <v>3.3305237476870211E-2</v>
      </c>
      <c r="H50" s="32">
        <f t="shared" si="3"/>
        <v>0.99915712430610637</v>
      </c>
      <c r="I50" s="23">
        <f t="shared" si="23"/>
        <v>7.7269157939531539</v>
      </c>
      <c r="J50" s="23">
        <f t="shared" si="24"/>
        <v>17.718487037014221</v>
      </c>
      <c r="K50" s="23">
        <f t="shared" si="25"/>
        <v>123.63065270325046</v>
      </c>
      <c r="L50" s="23">
        <f t="shared" si="26"/>
        <v>283.49579259222753</v>
      </c>
    </row>
    <row r="51" spans="1:12" x14ac:dyDescent="0.35">
      <c r="A51" s="24" t="s">
        <v>179</v>
      </c>
      <c r="B51" s="24" t="s">
        <v>180</v>
      </c>
      <c r="K51" s="24" t="s">
        <v>179</v>
      </c>
      <c r="L51" s="24" t="s">
        <v>179</v>
      </c>
    </row>
  </sheetData>
  <mergeCells count="4">
    <mergeCell ref="A1:L1"/>
    <mergeCell ref="A3:C3"/>
    <mergeCell ref="A9:C9"/>
    <mergeCell ref="B13:D13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BFA60-AE87-421E-B590-724883A906C8}">
  <sheetPr codeName="Tabelle10"/>
  <dimension ref="A1:L51"/>
  <sheetViews>
    <sheetView workbookViewId="0">
      <selection sqref="A1:L1"/>
    </sheetView>
  </sheetViews>
  <sheetFormatPr baseColWidth="10" defaultRowHeight="14.5" x14ac:dyDescent="0.35"/>
  <cols>
    <col min="1" max="1" width="14.81640625" customWidth="1"/>
  </cols>
  <sheetData>
    <row r="1" spans="1:12" ht="21" x14ac:dyDescent="0.5">
      <c r="A1" s="27" t="s">
        <v>214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3" spans="1:12" x14ac:dyDescent="0.35">
      <c r="A3" s="29" t="s">
        <v>183</v>
      </c>
      <c r="B3" s="29"/>
      <c r="C3" s="29"/>
    </row>
    <row r="4" spans="1:12" x14ac:dyDescent="0.35">
      <c r="A4" s="15" t="s">
        <v>216</v>
      </c>
      <c r="B4" t="s">
        <v>201</v>
      </c>
      <c r="C4" s="18">
        <v>600</v>
      </c>
      <c r="D4" s="25" t="s">
        <v>186</v>
      </c>
      <c r="E4" s="25"/>
      <c r="F4" s="25"/>
      <c r="G4" s="25"/>
      <c r="H4" s="25"/>
    </row>
    <row r="5" spans="1:12" x14ac:dyDescent="0.35">
      <c r="A5" s="15" t="s">
        <v>189</v>
      </c>
      <c r="B5" t="s">
        <v>166</v>
      </c>
      <c r="C5" s="18">
        <v>300</v>
      </c>
      <c r="D5" s="25" t="s">
        <v>186</v>
      </c>
      <c r="E5" s="25"/>
      <c r="F5" s="25"/>
      <c r="G5" s="25"/>
      <c r="H5" s="25"/>
    </row>
    <row r="6" spans="1:12" x14ac:dyDescent="0.35">
      <c r="A6" s="15" t="s">
        <v>120</v>
      </c>
      <c r="B6" t="s">
        <v>165</v>
      </c>
      <c r="C6" s="18">
        <v>10</v>
      </c>
    </row>
    <row r="7" spans="1:12" x14ac:dyDescent="0.35">
      <c r="A7" s="15" t="s">
        <v>215</v>
      </c>
      <c r="B7" t="s">
        <v>213</v>
      </c>
      <c r="C7" s="18">
        <v>20</v>
      </c>
    </row>
    <row r="9" spans="1:12" x14ac:dyDescent="0.35">
      <c r="A9" s="28" t="s">
        <v>182</v>
      </c>
      <c r="B9" s="28"/>
      <c r="C9" s="28"/>
    </row>
    <row r="10" spans="1:12" x14ac:dyDescent="0.35">
      <c r="A10" s="15" t="s">
        <v>217</v>
      </c>
      <c r="B10" t="s">
        <v>203</v>
      </c>
      <c r="C10" s="19">
        <f>1/C4</f>
        <v>1.6666666666666668E-3</v>
      </c>
      <c r="D10" s="25" t="s">
        <v>187</v>
      </c>
      <c r="E10" s="25"/>
      <c r="F10" s="25"/>
      <c r="G10" s="25"/>
      <c r="H10" s="25"/>
    </row>
    <row r="11" spans="1:12" x14ac:dyDescent="0.35">
      <c r="A11" s="15" t="s">
        <v>188</v>
      </c>
      <c r="B11" t="s">
        <v>168</v>
      </c>
      <c r="C11" s="19">
        <f>1/C5</f>
        <v>3.3333333333333335E-3</v>
      </c>
      <c r="D11" s="25" t="s">
        <v>187</v>
      </c>
      <c r="E11" s="25"/>
      <c r="F11" s="25"/>
      <c r="G11" s="25"/>
      <c r="H11" s="25"/>
    </row>
    <row r="13" spans="1:12" x14ac:dyDescent="0.35">
      <c r="A13" s="16" t="s">
        <v>163</v>
      </c>
      <c r="B13" s="28" t="s">
        <v>182</v>
      </c>
      <c r="C13" s="28"/>
      <c r="D13" s="28"/>
      <c r="E13" s="31" t="s">
        <v>224</v>
      </c>
      <c r="F13" s="31"/>
      <c r="G13" s="31"/>
      <c r="H13" s="31"/>
      <c r="I13" s="31"/>
      <c r="J13" s="31"/>
      <c r="K13" s="31"/>
      <c r="L13" s="31"/>
    </row>
    <row r="14" spans="1:12" x14ac:dyDescent="0.35">
      <c r="A14" s="17" t="s">
        <v>190</v>
      </c>
      <c r="B14" s="15" t="s">
        <v>191</v>
      </c>
      <c r="C14" s="15" t="s">
        <v>218</v>
      </c>
      <c r="D14" s="15" t="s">
        <v>219</v>
      </c>
      <c r="E14" s="15" t="s">
        <v>220</v>
      </c>
      <c r="F14" s="15" t="s">
        <v>221</v>
      </c>
      <c r="G14" s="15" t="s">
        <v>222</v>
      </c>
      <c r="H14" s="15" t="s">
        <v>223</v>
      </c>
      <c r="I14" s="15" t="s">
        <v>193</v>
      </c>
      <c r="J14" s="15" t="s">
        <v>194</v>
      </c>
      <c r="K14" s="15" t="s">
        <v>195</v>
      </c>
      <c r="L14" s="15" t="s">
        <v>196</v>
      </c>
    </row>
    <row r="15" spans="1:12" x14ac:dyDescent="0.35">
      <c r="A15" t="s">
        <v>159</v>
      </c>
      <c r="B15" t="s">
        <v>3</v>
      </c>
      <c r="C15" t="s">
        <v>0</v>
      </c>
      <c r="D15" t="s">
        <v>178</v>
      </c>
      <c r="E15" t="s">
        <v>207</v>
      </c>
      <c r="F15" t="s">
        <v>210</v>
      </c>
      <c r="G15" t="s">
        <v>3</v>
      </c>
      <c r="H15" t="s">
        <v>178</v>
      </c>
      <c r="I15" t="s">
        <v>177</v>
      </c>
      <c r="J15" t="s">
        <v>176</v>
      </c>
      <c r="K15" t="s">
        <v>175</v>
      </c>
      <c r="L15" t="s">
        <v>174</v>
      </c>
    </row>
    <row r="16" spans="1:12" x14ac:dyDescent="0.35">
      <c r="A16" s="18">
        <v>50</v>
      </c>
      <c r="B16" s="20">
        <f>1/A16</f>
        <v>0.02</v>
      </c>
      <c r="C16" s="21">
        <f>B16/$C$11</f>
        <v>6</v>
      </c>
      <c r="D16" s="22">
        <f>C16/$C$6</f>
        <v>0.6</v>
      </c>
      <c r="E16" s="33">
        <f>MMcKMZustandsP(B16,$C$11,$C$10,$C$6,$C$7,$C$7)</f>
        <v>2.3296950687024362E-5</v>
      </c>
      <c r="F16" s="33">
        <f>ErwErlangC_PA(B16,$C$11,$C$10,$C$6,$C$7)</f>
        <v>8.2493922152403754E-3</v>
      </c>
      <c r="G16" s="34">
        <f>B16*(1-E16)*(1-F16)</f>
        <v>1.9834550060395126E-2</v>
      </c>
      <c r="H16" s="32">
        <f>G16/$C$11/$C$6</f>
        <v>0.59503650181185375</v>
      </c>
      <c r="I16" s="23">
        <f>ErwErlangC_ENQ(B16,$C$11,$C$10,$C$6,$C$7)</f>
        <v>9.8990400354680846E-2</v>
      </c>
      <c r="J16" s="23">
        <f>ErwErlangC_EN(B16,$C$11,$C$10,$C$6,$C$7)</f>
        <v>6.0493554184732181</v>
      </c>
      <c r="K16" s="23">
        <f>ErwErlangC_EW(B16,$C$11,$C$10,$C$6,$C$7)</f>
        <v>4.9495200177340424</v>
      </c>
      <c r="L16" s="23">
        <f>ErwErlangC_EV(B16,$C$11,$C$10,$C$6,$C$7)</f>
        <v>302.46777092366091</v>
      </c>
    </row>
    <row r="17" spans="1:12" x14ac:dyDescent="0.35">
      <c r="A17" s="18">
        <v>49</v>
      </c>
      <c r="B17" s="20">
        <f>1/A17</f>
        <v>2.0408163265306121E-2</v>
      </c>
      <c r="C17" s="21">
        <f>B17/$C$11</f>
        <v>6.1224489795918355</v>
      </c>
      <c r="D17" s="22">
        <f>C17/$C$6</f>
        <v>0.61224489795918358</v>
      </c>
      <c r="E17" s="33">
        <f t="shared" ref="E17:E50" si="0">MMcKMZustandsP(B17,$C$11,$C$10,$C$6,$C$7,$C$7)</f>
        <v>3.084142605285673E-5</v>
      </c>
      <c r="F17" s="33">
        <f t="shared" ref="F17:F50" si="1">ErwErlangC_PA(B17,$C$11,$C$10,$C$6,$C$7)</f>
        <v>9.277608777050252E-3</v>
      </c>
      <c r="G17" s="34">
        <f t="shared" ref="G17:G50" si="2">B17*(1-E17)*(1-F17)</f>
        <v>2.0218200733297588E-2</v>
      </c>
      <c r="H17" s="32">
        <f t="shared" ref="H17:H50" si="3">G17/$C$11/$C$6</f>
        <v>0.6065460219989276</v>
      </c>
      <c r="I17" s="23">
        <f t="shared" ref="I17:I50" si="4">ErwErlangC_ENQ(B17,$C$11,$C$10,$C$6,$C$7)</f>
        <v>0.1135998690901862</v>
      </c>
      <c r="J17" s="23">
        <f t="shared" ref="J17:J50" si="5">ErwErlangC_EN(B17,$C$11,$C$10,$C$6,$C$7)</f>
        <v>6.1790600890794627</v>
      </c>
      <c r="K17" s="23">
        <f t="shared" ref="K17:K50" si="6">ErwErlangC_EW(B17,$C$11,$C$10,$C$6,$C$7)</f>
        <v>5.5663935854191244</v>
      </c>
      <c r="L17" s="23">
        <f t="shared" ref="L17:L50" si="7">ErwErlangC_EV(B17,$C$11,$C$10,$C$6,$C$7)</f>
        <v>302.77394436489368</v>
      </c>
    </row>
    <row r="18" spans="1:12" x14ac:dyDescent="0.35">
      <c r="A18" s="18">
        <v>48</v>
      </c>
      <c r="B18" s="20">
        <f t="shared" ref="B18:B50" si="8">1/A18</f>
        <v>2.0833333333333332E-2</v>
      </c>
      <c r="C18" s="21">
        <f t="shared" ref="C18:C50" si="9">B18/$C$11</f>
        <v>6.2499999999999991</v>
      </c>
      <c r="D18" s="22">
        <f t="shared" ref="D18:D50" si="10">C18/$C$6</f>
        <v>0.62499999999999989</v>
      </c>
      <c r="E18" s="33">
        <f t="shared" si="0"/>
        <v>4.0953668215707646E-5</v>
      </c>
      <c r="F18" s="33">
        <f t="shared" si="1"/>
        <v>1.0444481141773349E-2</v>
      </c>
      <c r="G18" s="34">
        <f t="shared" si="2"/>
        <v>2.0614895686038047E-2</v>
      </c>
      <c r="H18" s="32">
        <f t="shared" si="3"/>
        <v>0.61844687058114134</v>
      </c>
      <c r="I18" s="23">
        <f t="shared" si="4"/>
        <v>0.13055066752447478</v>
      </c>
      <c r="J18" s="23">
        <f t="shared" si="5"/>
        <v>6.315019373335887</v>
      </c>
      <c r="K18" s="23">
        <f t="shared" si="6"/>
        <v>6.2664320411747898</v>
      </c>
      <c r="L18" s="23">
        <f t="shared" si="7"/>
        <v>303.12092992012259</v>
      </c>
    </row>
    <row r="19" spans="1:12" x14ac:dyDescent="0.35">
      <c r="A19" s="18">
        <v>47</v>
      </c>
      <c r="B19" s="20">
        <f t="shared" si="8"/>
        <v>2.1276595744680851E-2</v>
      </c>
      <c r="C19" s="21">
        <f t="shared" si="9"/>
        <v>6.3829787234042543</v>
      </c>
      <c r="D19" s="22">
        <f t="shared" si="10"/>
        <v>0.63829787234042545</v>
      </c>
      <c r="E19" s="33">
        <f t="shared" si="0"/>
        <v>5.454693206839797E-5</v>
      </c>
      <c r="F19" s="33">
        <f t="shared" si="1"/>
        <v>1.1769799144785043E-2</v>
      </c>
      <c r="G19" s="34">
        <f t="shared" si="2"/>
        <v>2.1025027572969805E-2</v>
      </c>
      <c r="H19" s="32">
        <f t="shared" si="3"/>
        <v>0.63075082718909414</v>
      </c>
      <c r="I19" s="23">
        <f t="shared" si="4"/>
        <v>0.15024455921298679</v>
      </c>
      <c r="J19" s="23">
        <f t="shared" si="5"/>
        <v>6.4577528311039263</v>
      </c>
      <c r="K19" s="23">
        <f t="shared" si="6"/>
        <v>7.0614942830103793</v>
      </c>
      <c r="L19" s="23">
        <f t="shared" si="7"/>
        <v>303.51438306188453</v>
      </c>
    </row>
    <row r="20" spans="1:12" x14ac:dyDescent="0.35">
      <c r="A20" s="18">
        <v>46</v>
      </c>
      <c r="B20" s="20">
        <f t="shared" si="8"/>
        <v>2.1739130434782608E-2</v>
      </c>
      <c r="C20" s="21">
        <f t="shared" si="9"/>
        <v>6.5217391304347823</v>
      </c>
      <c r="D20" s="22">
        <f t="shared" si="10"/>
        <v>0.65217391304347827</v>
      </c>
      <c r="E20" s="33">
        <f t="shared" si="0"/>
        <v>7.287151724561876E-5</v>
      </c>
      <c r="F20" s="33">
        <f t="shared" si="1"/>
        <v>1.3276228912549665E-2</v>
      </c>
      <c r="G20" s="34">
        <f t="shared" si="2"/>
        <v>2.1448953631068451E-2</v>
      </c>
      <c r="H20" s="32">
        <f t="shared" si="3"/>
        <v>0.64346860893205349</v>
      </c>
      <c r="I20" s="23">
        <f t="shared" si="4"/>
        <v>0.17315558417746307</v>
      </c>
      <c r="J20" s="23">
        <f t="shared" si="5"/>
        <v>6.6078416734979992</v>
      </c>
      <c r="K20" s="23">
        <f t="shared" si="6"/>
        <v>7.9651568721633019</v>
      </c>
      <c r="L20" s="23">
        <f t="shared" si="7"/>
        <v>303.96071698090799</v>
      </c>
    </row>
    <row r="21" spans="1:12" x14ac:dyDescent="0.35">
      <c r="A21" s="18">
        <v>45</v>
      </c>
      <c r="B21" s="20">
        <f t="shared" si="8"/>
        <v>2.2222222222222223E-2</v>
      </c>
      <c r="C21" s="21">
        <f t="shared" si="9"/>
        <v>6.6666666666666661</v>
      </c>
      <c r="D21" s="22">
        <f t="shared" si="10"/>
        <v>0.66666666666666663</v>
      </c>
      <c r="E21" s="33">
        <f t="shared" si="0"/>
        <v>9.7642652278741001E-5</v>
      </c>
      <c r="F21" s="33">
        <f t="shared" si="1"/>
        <v>1.498970006114703E-2</v>
      </c>
      <c r="G21" s="34">
        <f t="shared" si="2"/>
        <v>2.1886980464903224E-2</v>
      </c>
      <c r="H21" s="32">
        <f t="shared" si="3"/>
        <v>0.65660941394709671</v>
      </c>
      <c r="I21" s="23">
        <f t="shared" si="4"/>
        <v>0.19984315236101594</v>
      </c>
      <c r="J21" s="23">
        <f t="shared" si="5"/>
        <v>6.7659372918319809</v>
      </c>
      <c r="K21" s="23">
        <f t="shared" si="6"/>
        <v>8.9929418562457162</v>
      </c>
      <c r="L21" s="23">
        <f t="shared" si="7"/>
        <v>304.46717813243913</v>
      </c>
    </row>
    <row r="22" spans="1:12" x14ac:dyDescent="0.35">
      <c r="A22" s="18">
        <v>44</v>
      </c>
      <c r="B22" s="20">
        <f t="shared" si="8"/>
        <v>2.2727272727272728E-2</v>
      </c>
      <c r="C22" s="21">
        <f t="shared" si="9"/>
        <v>6.8181818181818183</v>
      </c>
      <c r="D22" s="22">
        <f t="shared" si="10"/>
        <v>0.68181818181818188</v>
      </c>
      <c r="E22" s="33">
        <f t="shared" si="0"/>
        <v>1.3121760591332555E-4</v>
      </c>
      <c r="F22" s="33">
        <f t="shared" si="1"/>
        <v>1.6939824326272081E-2</v>
      </c>
      <c r="G22" s="34">
        <f t="shared" si="2"/>
        <v>2.2339345019795624E-2</v>
      </c>
      <c r="H22" s="32">
        <f t="shared" si="3"/>
        <v>0.6701803505938686</v>
      </c>
      <c r="I22" s="23">
        <f t="shared" si="4"/>
        <v>0.23096729349653733</v>
      </c>
      <c r="J22" s="23">
        <f t="shared" si="5"/>
        <v>6.9327707994352226</v>
      </c>
      <c r="K22" s="23">
        <f t="shared" si="6"/>
        <v>10.162560913847642</v>
      </c>
      <c r="L22" s="23">
        <f t="shared" si="7"/>
        <v>305.04191517514977</v>
      </c>
    </row>
    <row r="23" spans="1:12" x14ac:dyDescent="0.35">
      <c r="A23" s="18">
        <v>43</v>
      </c>
      <c r="B23" s="20">
        <f t="shared" si="8"/>
        <v>2.3255813953488372E-2</v>
      </c>
      <c r="C23" s="21">
        <f t="shared" si="9"/>
        <v>6.9767441860465107</v>
      </c>
      <c r="D23" s="22">
        <f t="shared" si="10"/>
        <v>0.69767441860465107</v>
      </c>
      <c r="E23" s="33">
        <f t="shared" si="0"/>
        <v>1.7684084760852012E-4</v>
      </c>
      <c r="F23" s="33">
        <f t="shared" si="1"/>
        <v>1.9160337041915578E-2</v>
      </c>
      <c r="G23" s="34">
        <f t="shared" si="2"/>
        <v>2.2806190940481835E-2</v>
      </c>
      <c r="H23" s="32">
        <f t="shared" si="3"/>
        <v>0.684185728214455</v>
      </c>
      <c r="I23" s="23">
        <f t="shared" si="4"/>
        <v>0.26730626109310646</v>
      </c>
      <c r="J23" s="23">
        <f t="shared" si="5"/>
        <v>7.1091635432376581</v>
      </c>
      <c r="K23" s="23">
        <f t="shared" si="6"/>
        <v>11.494169227003578</v>
      </c>
      <c r="L23" s="23">
        <f t="shared" si="7"/>
        <v>305.69403235921931</v>
      </c>
    </row>
    <row r="24" spans="1:12" x14ac:dyDescent="0.35">
      <c r="A24" s="18">
        <v>42</v>
      </c>
      <c r="B24" s="20">
        <f t="shared" si="8"/>
        <v>2.3809523809523808E-2</v>
      </c>
      <c r="C24" s="21">
        <f t="shared" si="9"/>
        <v>7.1428571428571423</v>
      </c>
      <c r="D24" s="22">
        <f t="shared" si="10"/>
        <v>0.71428571428571419</v>
      </c>
      <c r="E24" s="33">
        <f t="shared" si="0"/>
        <v>2.3898295506966894E-4</v>
      </c>
      <c r="F24" s="33">
        <f t="shared" si="1"/>
        <v>2.1689545832791059E-2</v>
      </c>
      <c r="G24" s="34">
        <f t="shared" si="2"/>
        <v>2.3287539396283249E-2</v>
      </c>
      <c r="H24" s="32">
        <f t="shared" si="3"/>
        <v>0.69862618188849734</v>
      </c>
      <c r="I24" s="23">
        <f t="shared" si="4"/>
        <v>0.30977660572905441</v>
      </c>
      <c r="J24" s="23">
        <f t="shared" si="5"/>
        <v>7.2960384246140286</v>
      </c>
      <c r="K24" s="23">
        <f t="shared" si="6"/>
        <v>13.010617440620287</v>
      </c>
      <c r="L24" s="23">
        <f t="shared" si="7"/>
        <v>306.4336138337892</v>
      </c>
    </row>
    <row r="25" spans="1:12" x14ac:dyDescent="0.35">
      <c r="A25" s="18">
        <v>41</v>
      </c>
      <c r="B25" s="20">
        <f t="shared" si="8"/>
        <v>2.4390243902439025E-2</v>
      </c>
      <c r="C25" s="21">
        <f t="shared" si="9"/>
        <v>7.3170731707317067</v>
      </c>
      <c r="D25" s="22">
        <f t="shared" si="10"/>
        <v>0.73170731707317072</v>
      </c>
      <c r="E25" s="33">
        <f t="shared" si="0"/>
        <v>3.2380803430487396E-4</v>
      </c>
      <c r="F25" s="33">
        <f t="shared" si="1"/>
        <v>2.4570760635531232E-2</v>
      </c>
      <c r="G25" s="34">
        <f t="shared" si="2"/>
        <v>2.3783253354630895E-2</v>
      </c>
      <c r="H25" s="32">
        <f t="shared" si="3"/>
        <v>0.71349760063892675</v>
      </c>
      <c r="I25" s="23">
        <f t="shared" si="4"/>
        <v>0.35945567452431898</v>
      </c>
      <c r="J25" s="23">
        <f t="shared" si="5"/>
        <v>7.4944316809135865</v>
      </c>
      <c r="K25" s="23">
        <f t="shared" si="6"/>
        <v>14.737682655497078</v>
      </c>
      <c r="L25" s="23">
        <f t="shared" si="7"/>
        <v>307.27169891745706</v>
      </c>
    </row>
    <row r="26" spans="1:12" x14ac:dyDescent="0.35">
      <c r="A26" s="18">
        <v>40</v>
      </c>
      <c r="B26" s="20">
        <f t="shared" si="8"/>
        <v>2.5000000000000001E-2</v>
      </c>
      <c r="C26" s="21">
        <f t="shared" si="9"/>
        <v>7.5</v>
      </c>
      <c r="D26" s="22">
        <f t="shared" si="10"/>
        <v>0.75</v>
      </c>
      <c r="E26" s="33">
        <f t="shared" si="0"/>
        <v>4.3981610030847468E-4</v>
      </c>
      <c r="F26" s="33">
        <f t="shared" si="1"/>
        <v>2.7852664673909362E-2</v>
      </c>
      <c r="G26" s="34">
        <f t="shared" si="2"/>
        <v>2.4292994231903554E-2</v>
      </c>
      <c r="H26" s="32">
        <f t="shared" si="3"/>
        <v>0.72878982695710648</v>
      </c>
      <c r="I26" s="23">
        <f t="shared" si="4"/>
        <v>0.41760621935323905</v>
      </c>
      <c r="J26" s="23">
        <f t="shared" si="5"/>
        <v>7.7055044889243067</v>
      </c>
      <c r="K26" s="23">
        <f t="shared" si="6"/>
        <v>16.70424877412956</v>
      </c>
      <c r="L26" s="23">
        <f t="shared" si="7"/>
        <v>308.22017955697225</v>
      </c>
    </row>
    <row r="27" spans="1:12" x14ac:dyDescent="0.35">
      <c r="A27" s="18">
        <v>39</v>
      </c>
      <c r="B27" s="20">
        <f t="shared" si="8"/>
        <v>2.564102564102564E-2</v>
      </c>
      <c r="C27" s="21">
        <f t="shared" si="9"/>
        <v>7.6923076923076916</v>
      </c>
      <c r="D27" s="22">
        <f t="shared" si="10"/>
        <v>0.76923076923076916</v>
      </c>
      <c r="E27" s="33">
        <f t="shared" si="0"/>
        <v>5.9872142266259652E-4</v>
      </c>
      <c r="F27" s="33">
        <f t="shared" si="1"/>
        <v>3.1589566129218198E-2</v>
      </c>
      <c r="G27" s="34">
        <f t="shared" si="2"/>
        <v>2.4816169892258808E-2</v>
      </c>
      <c r="H27" s="32">
        <f t="shared" si="3"/>
        <v>0.7444850967677642</v>
      </c>
      <c r="I27" s="23">
        <f t="shared" si="4"/>
        <v>0.485702350449908</v>
      </c>
      <c r="J27" s="23">
        <f t="shared" si="5"/>
        <v>7.9305533181275516</v>
      </c>
      <c r="K27" s="23">
        <f t="shared" si="6"/>
        <v>18.942391667546413</v>
      </c>
      <c r="L27" s="23">
        <f t="shared" si="7"/>
        <v>309.29157940697451</v>
      </c>
    </row>
    <row r="28" spans="1:12" x14ac:dyDescent="0.35">
      <c r="A28" s="18">
        <v>38</v>
      </c>
      <c r="B28" s="20">
        <f t="shared" si="8"/>
        <v>2.6315789473684209E-2</v>
      </c>
      <c r="C28" s="21">
        <f t="shared" si="9"/>
        <v>7.8947368421052619</v>
      </c>
      <c r="D28" s="22">
        <f t="shared" si="10"/>
        <v>0.78947368421052622</v>
      </c>
      <c r="E28" s="33">
        <f t="shared" si="0"/>
        <v>8.1664508509925778E-4</v>
      </c>
      <c r="F28" s="33">
        <f t="shared" si="1"/>
        <v>3.5841443893546779E-2</v>
      </c>
      <c r="G28" s="34">
        <f t="shared" si="2"/>
        <v>2.5351873177904008E-2</v>
      </c>
      <c r="H28" s="32">
        <f t="shared" si="3"/>
        <v>0.76055619533712027</v>
      </c>
      <c r="I28" s="23">
        <f t="shared" si="4"/>
        <v>0.56545538138760398</v>
      </c>
      <c r="J28" s="23">
        <f t="shared" si="5"/>
        <v>8.1710173347588029</v>
      </c>
      <c r="K28" s="23">
        <f t="shared" si="6"/>
        <v>21.487304492728953</v>
      </c>
      <c r="L28" s="23">
        <f t="shared" si="7"/>
        <v>310.4986587208345</v>
      </c>
    </row>
    <row r="29" spans="1:12" x14ac:dyDescent="0.35">
      <c r="A29" s="18">
        <v>37</v>
      </c>
      <c r="B29" s="20">
        <f t="shared" si="8"/>
        <v>2.7027027027027029E-2</v>
      </c>
      <c r="C29" s="21">
        <f t="shared" si="9"/>
        <v>8.1081081081081088</v>
      </c>
      <c r="D29" s="22">
        <f t="shared" si="10"/>
        <v>0.81081081081081086</v>
      </c>
      <c r="E29" s="33">
        <f t="shared" si="0"/>
        <v>1.1157188189644983E-3</v>
      </c>
      <c r="F29" s="33">
        <f t="shared" si="1"/>
        <v>4.0673667384448574E-2</v>
      </c>
      <c r="G29" s="34">
        <f t="shared" si="2"/>
        <v>2.5898810653316867E-2</v>
      </c>
      <c r="H29" s="32">
        <f t="shared" si="3"/>
        <v>0.77696431959950596</v>
      </c>
      <c r="I29" s="23">
        <f t="shared" si="4"/>
        <v>0.65883708662126683</v>
      </c>
      <c r="J29" s="23">
        <f t="shared" si="5"/>
        <v>8.428480282616329</v>
      </c>
      <c r="K29" s="23">
        <f t="shared" si="6"/>
        <v>24.37697220498687</v>
      </c>
      <c r="L29" s="23">
        <f t="shared" si="7"/>
        <v>311.85377045680417</v>
      </c>
    </row>
    <row r="30" spans="1:12" x14ac:dyDescent="0.35">
      <c r="A30" s="18">
        <v>36</v>
      </c>
      <c r="B30" s="20">
        <f t="shared" si="8"/>
        <v>2.7777777777777776E-2</v>
      </c>
      <c r="C30" s="21">
        <f t="shared" si="9"/>
        <v>8.3333333333333321</v>
      </c>
      <c r="D30" s="22">
        <f t="shared" si="10"/>
        <v>0.83333333333333326</v>
      </c>
      <c r="E30" s="33">
        <f t="shared" si="0"/>
        <v>1.5262146814309892E-3</v>
      </c>
      <c r="F30" s="33">
        <f t="shared" si="1"/>
        <v>4.6156230589959747E-2</v>
      </c>
      <c r="G30" s="34">
        <f t="shared" si="2"/>
        <v>2.6455222195704866E-2</v>
      </c>
      <c r="H30" s="32">
        <f t="shared" si="3"/>
        <v>0.79365666587114592</v>
      </c>
      <c r="I30" s="23">
        <f t="shared" si="4"/>
        <v>0.76809643788656379</v>
      </c>
      <c r="J30" s="23">
        <f t="shared" si="5"/>
        <v>8.7046630965980203</v>
      </c>
      <c r="K30" s="23">
        <f t="shared" si="6"/>
        <v>27.651471763916298</v>
      </c>
      <c r="L30" s="23">
        <f t="shared" si="7"/>
        <v>313.36787147752875</v>
      </c>
    </row>
    <row r="31" spans="1:12" x14ac:dyDescent="0.35">
      <c r="A31" s="18">
        <v>35</v>
      </c>
      <c r="B31" s="20">
        <f t="shared" si="8"/>
        <v>2.8571428571428571E-2</v>
      </c>
      <c r="C31" s="21">
        <f t="shared" si="9"/>
        <v>8.5714285714285712</v>
      </c>
      <c r="D31" s="22">
        <f t="shared" si="10"/>
        <v>0.8571428571428571</v>
      </c>
      <c r="E31" s="33">
        <f t="shared" si="0"/>
        <v>2.0893255467376286E-3</v>
      </c>
      <c r="F31" s="33">
        <f t="shared" si="1"/>
        <v>5.2362297447471867E-2</v>
      </c>
      <c r="G31" s="34">
        <f t="shared" si="2"/>
        <v>2.7018793682615241E-2</v>
      </c>
      <c r="H31" s="32">
        <f t="shared" si="3"/>
        <v>0.81056381047845716</v>
      </c>
      <c r="I31" s="23">
        <f t="shared" si="4"/>
        <v>0.89576392391535398</v>
      </c>
      <c r="J31" s="23">
        <f t="shared" si="5"/>
        <v>9.0014020286999266</v>
      </c>
      <c r="K31" s="23">
        <f t="shared" si="6"/>
        <v>31.351737337037392</v>
      </c>
      <c r="L31" s="23">
        <f t="shared" si="7"/>
        <v>315.04907100449742</v>
      </c>
    </row>
    <row r="32" spans="1:12" x14ac:dyDescent="0.35">
      <c r="A32" s="18">
        <v>34</v>
      </c>
      <c r="B32" s="20">
        <f t="shared" si="8"/>
        <v>2.9411764705882353E-2</v>
      </c>
      <c r="C32" s="21">
        <f t="shared" si="9"/>
        <v>8.8235294117647047</v>
      </c>
      <c r="D32" s="22">
        <f t="shared" si="10"/>
        <v>0.88235294117647045</v>
      </c>
      <c r="E32" s="33">
        <f t="shared" si="0"/>
        <v>2.8607143142734895E-3</v>
      </c>
      <c r="F32" s="33">
        <f t="shared" si="1"/>
        <v>5.9365816812371429E-2</v>
      </c>
      <c r="G32" s="34">
        <f t="shared" si="2"/>
        <v>2.7586567573979079E-2</v>
      </c>
      <c r="H32" s="32">
        <f t="shared" si="3"/>
        <v>0.82759702721937223</v>
      </c>
      <c r="I32" s="23">
        <f t="shared" si="4"/>
        <v>1.0446350853606658</v>
      </c>
      <c r="J32" s="23">
        <f t="shared" si="5"/>
        <v>9.3206053575543901</v>
      </c>
      <c r="K32" s="23">
        <f t="shared" si="6"/>
        <v>35.517592902262642</v>
      </c>
      <c r="L32" s="23">
        <f t="shared" si="7"/>
        <v>316.90058215684928</v>
      </c>
    </row>
    <row r="33" spans="1:12" x14ac:dyDescent="0.35">
      <c r="A33" s="18">
        <v>33</v>
      </c>
      <c r="B33" s="20">
        <f t="shared" si="8"/>
        <v>3.0303030303030304E-2</v>
      </c>
      <c r="C33" s="21">
        <f t="shared" si="9"/>
        <v>9.0909090909090899</v>
      </c>
      <c r="D33" s="22">
        <f t="shared" si="10"/>
        <v>0.90909090909090895</v>
      </c>
      <c r="E33" s="33">
        <f t="shared" si="0"/>
        <v>3.9149086487129201E-3</v>
      </c>
      <c r="F33" s="33">
        <f t="shared" si="1"/>
        <v>6.7237944778836295E-2</v>
      </c>
      <c r="G33" s="34">
        <f t="shared" si="2"/>
        <v>2.8154859908605671E-2</v>
      </c>
      <c r="H33" s="32">
        <f t="shared" si="3"/>
        <v>0.84464579725817013</v>
      </c>
      <c r="I33" s="23">
        <f t="shared" si="4"/>
        <v>1.2177220794054535</v>
      </c>
      <c r="J33" s="23">
        <f t="shared" si="5"/>
        <v>9.6641800519871506</v>
      </c>
      <c r="K33" s="23">
        <f t="shared" si="6"/>
        <v>40.184828620379967</v>
      </c>
      <c r="L33" s="23">
        <f t="shared" si="7"/>
        <v>318.91794171557598</v>
      </c>
    </row>
    <row r="34" spans="1:12" x14ac:dyDescent="0.35">
      <c r="A34" s="18">
        <v>32</v>
      </c>
      <c r="B34" s="20">
        <f t="shared" si="8"/>
        <v>3.125E-2</v>
      </c>
      <c r="C34" s="21">
        <f t="shared" si="9"/>
        <v>9.375</v>
      </c>
      <c r="D34" s="22">
        <f t="shared" si="10"/>
        <v>0.9375</v>
      </c>
      <c r="E34" s="33">
        <f t="shared" si="0"/>
        <v>5.3505192969651814E-3</v>
      </c>
      <c r="F34" s="33">
        <f t="shared" si="1"/>
        <v>7.6042033002705664E-2</v>
      </c>
      <c r="G34" s="34">
        <f t="shared" si="2"/>
        <v>2.8719197252040331E-2</v>
      </c>
      <c r="H34" s="32">
        <f t="shared" si="3"/>
        <v>0.86157591756120999</v>
      </c>
      <c r="I34" s="23">
        <f t="shared" si="4"/>
        <v>1.4181594119577035</v>
      </c>
      <c r="J34" s="23">
        <f t="shared" si="5"/>
        <v>10.033918587569808</v>
      </c>
      <c r="K34" s="23">
        <f t="shared" si="6"/>
        <v>45.38110118264651</v>
      </c>
      <c r="L34" s="23">
        <f t="shared" si="7"/>
        <v>321.08539480223385</v>
      </c>
    </row>
    <row r="35" spans="1:12" x14ac:dyDescent="0.35">
      <c r="A35" s="18">
        <v>31</v>
      </c>
      <c r="B35" s="20">
        <f t="shared" si="8"/>
        <v>3.2258064516129031E-2</v>
      </c>
      <c r="C35" s="21">
        <f t="shared" si="9"/>
        <v>9.6774193548387082</v>
      </c>
      <c r="D35" s="22">
        <f t="shared" si="10"/>
        <v>0.96774193548387077</v>
      </c>
      <c r="E35" s="33">
        <f t="shared" si="0"/>
        <v>7.2960746452079943E-3</v>
      </c>
      <c r="F35" s="33">
        <f t="shared" si="1"/>
        <v>8.5827036467534742E-2</v>
      </c>
      <c r="G35" s="34">
        <f t="shared" si="2"/>
        <v>2.9274293204900045E-2</v>
      </c>
      <c r="H35" s="32">
        <f t="shared" si="3"/>
        <v>0.87822879614700133</v>
      </c>
      <c r="I35" s="23">
        <f t="shared" si="4"/>
        <v>1.6490484387656248</v>
      </c>
      <c r="J35" s="23">
        <f t="shared" si="5"/>
        <v>10.43133640023564</v>
      </c>
      <c r="K35" s="23">
        <f t="shared" si="6"/>
        <v>51.120501601734368</v>
      </c>
      <c r="L35" s="23">
        <f t="shared" si="7"/>
        <v>323.37142840730485</v>
      </c>
    </row>
    <row r="36" spans="1:12" x14ac:dyDescent="0.35">
      <c r="A36" s="18">
        <v>30</v>
      </c>
      <c r="B36" s="20">
        <f t="shared" si="8"/>
        <v>3.3333333333333333E-2</v>
      </c>
      <c r="C36" s="21">
        <f t="shared" si="9"/>
        <v>10</v>
      </c>
      <c r="D36" s="22">
        <f t="shared" si="10"/>
        <v>1</v>
      </c>
      <c r="E36" s="33">
        <f t="shared" si="0"/>
        <v>9.9159657319700962E-3</v>
      </c>
      <c r="F36" s="33">
        <f t="shared" si="1"/>
        <v>9.6619401000993699E-2</v>
      </c>
      <c r="G36" s="34">
        <f t="shared" si="2"/>
        <v>2.9814090264546848E-2</v>
      </c>
      <c r="H36" s="32">
        <f t="shared" si="3"/>
        <v>0.89442270793640544</v>
      </c>
      <c r="I36" s="23">
        <f t="shared" si="4"/>
        <v>1.9132265266324868</v>
      </c>
      <c r="J36" s="23">
        <f t="shared" si="5"/>
        <v>10.857453605996547</v>
      </c>
      <c r="K36" s="23">
        <f t="shared" si="6"/>
        <v>57.396795798974608</v>
      </c>
      <c r="L36" s="23">
        <f t="shared" si="7"/>
        <v>325.72360817989642</v>
      </c>
    </row>
    <row r="37" spans="1:12" x14ac:dyDescent="0.35">
      <c r="A37" s="18">
        <v>29</v>
      </c>
      <c r="B37" s="20">
        <f t="shared" si="8"/>
        <v>3.4482758620689655E-2</v>
      </c>
      <c r="C37" s="21">
        <f t="shared" si="9"/>
        <v>10.344827586206895</v>
      </c>
      <c r="D37" s="22">
        <f t="shared" si="10"/>
        <v>1.0344827586206895</v>
      </c>
      <c r="E37" s="33">
        <f t="shared" si="0"/>
        <v>1.3415578100310408E-2</v>
      </c>
      <c r="F37" s="33">
        <f t="shared" si="1"/>
        <v>0.10841384135768703</v>
      </c>
      <c r="G37" s="34">
        <f t="shared" si="2"/>
        <v>3.0331897065444525E-2</v>
      </c>
      <c r="H37" s="32">
        <f t="shared" si="3"/>
        <v>0.90995691196333561</v>
      </c>
      <c r="I37" s="23">
        <f t="shared" si="4"/>
        <v>2.2129532483130685</v>
      </c>
      <c r="J37" s="23">
        <f t="shared" si="5"/>
        <v>11.312522367946427</v>
      </c>
      <c r="K37" s="23">
        <f t="shared" si="6"/>
        <v>64.175644201078981</v>
      </c>
      <c r="L37" s="23">
        <f t="shared" si="7"/>
        <v>328.06314867044637</v>
      </c>
    </row>
    <row r="38" spans="1:12" x14ac:dyDescent="0.35">
      <c r="A38" s="18">
        <v>28</v>
      </c>
      <c r="B38" s="20">
        <f t="shared" si="8"/>
        <v>3.5714285714285712E-2</v>
      </c>
      <c r="C38" s="21">
        <f t="shared" si="9"/>
        <v>10.714285714285714</v>
      </c>
      <c r="D38" s="22">
        <f t="shared" si="10"/>
        <v>1.0714285714285714</v>
      </c>
      <c r="E38" s="33">
        <f t="shared" si="0"/>
        <v>1.8044193198007881E-2</v>
      </c>
      <c r="F38" s="33">
        <f t="shared" si="1"/>
        <v>0.12116391582596106</v>
      </c>
      <c r="G38" s="34">
        <f t="shared" si="2"/>
        <v>3.0820649860065063E-2</v>
      </c>
      <c r="H38" s="32">
        <f t="shared" si="3"/>
        <v>0.92461949580195191</v>
      </c>
      <c r="I38" s="23">
        <f t="shared" si="4"/>
        <v>2.5495202297179338</v>
      </c>
      <c r="J38" s="23">
        <f t="shared" si="5"/>
        <v>11.795715187737455</v>
      </c>
      <c r="K38" s="23">
        <f t="shared" si="6"/>
        <v>71.386566432102157</v>
      </c>
      <c r="L38" s="23">
        <f t="shared" si="7"/>
        <v>330.28002525664874</v>
      </c>
    </row>
    <row r="39" spans="1:12" x14ac:dyDescent="0.35">
      <c r="A39" s="18">
        <v>27</v>
      </c>
      <c r="B39" s="20">
        <f t="shared" si="8"/>
        <v>3.7037037037037035E-2</v>
      </c>
      <c r="C39" s="21">
        <f t="shared" si="9"/>
        <v>11.111111111111109</v>
      </c>
      <c r="D39" s="22">
        <f t="shared" si="10"/>
        <v>1.1111111111111109</v>
      </c>
      <c r="E39" s="33">
        <f t="shared" si="0"/>
        <v>2.4093802095023237E-2</v>
      </c>
      <c r="F39" s="33">
        <f t="shared" si="1"/>
        <v>0.1347738795168795</v>
      </c>
      <c r="G39" s="34">
        <f t="shared" si="2"/>
        <v>3.1273316058102053E-2</v>
      </c>
      <c r="H39" s="32">
        <f t="shared" si="3"/>
        <v>0.93819948174306167</v>
      </c>
      <c r="I39" s="23">
        <f t="shared" si="4"/>
        <v>2.9228147630271395</v>
      </c>
      <c r="J39" s="23">
        <f t="shared" si="5"/>
        <v>12.304809580457755</v>
      </c>
      <c r="K39" s="23">
        <f t="shared" si="6"/>
        <v>78.915998601732767</v>
      </c>
      <c r="L39" s="23">
        <f t="shared" si="7"/>
        <v>332.2298586723594</v>
      </c>
    </row>
    <row r="40" spans="1:12" x14ac:dyDescent="0.35">
      <c r="A40" s="18">
        <v>26</v>
      </c>
      <c r="B40" s="20">
        <f t="shared" si="8"/>
        <v>3.8461538461538464E-2</v>
      </c>
      <c r="C40" s="21">
        <f t="shared" si="9"/>
        <v>11.538461538461538</v>
      </c>
      <c r="D40" s="22">
        <f t="shared" si="10"/>
        <v>1.1538461538461537</v>
      </c>
      <c r="E40" s="33">
        <f t="shared" si="0"/>
        <v>3.1891824644963332E-2</v>
      </c>
      <c r="F40" s="33">
        <f t="shared" si="1"/>
        <v>0.14909379693625846</v>
      </c>
      <c r="G40" s="34">
        <f t="shared" si="2"/>
        <v>3.1683432755627738E-2</v>
      </c>
      <c r="H40" s="32">
        <f t="shared" si="3"/>
        <v>0.95050298266883215</v>
      </c>
      <c r="I40" s="23">
        <f t="shared" si="4"/>
        <v>3.330898239431896</v>
      </c>
      <c r="J40" s="23">
        <f t="shared" si="5"/>
        <v>12.835928066120218</v>
      </c>
      <c r="K40" s="23">
        <f t="shared" si="6"/>
        <v>86.603354225229296</v>
      </c>
      <c r="L40" s="23">
        <f t="shared" si="7"/>
        <v>333.73412971912563</v>
      </c>
    </row>
    <row r="41" spans="1:12" x14ac:dyDescent="0.35">
      <c r="A41" s="18">
        <v>25</v>
      </c>
      <c r="B41" s="20">
        <f t="shared" si="8"/>
        <v>0.04</v>
      </c>
      <c r="C41" s="21">
        <f t="shared" si="9"/>
        <v>12</v>
      </c>
      <c r="D41" s="22">
        <f t="shared" si="10"/>
        <v>1.2</v>
      </c>
      <c r="E41" s="33">
        <f t="shared" si="0"/>
        <v>4.178617642445738E-2</v>
      </c>
      <c r="F41" s="33">
        <f t="shared" si="1"/>
        <v>0.16392006258333225</v>
      </c>
      <c r="G41" s="34">
        <f t="shared" si="2"/>
        <v>3.2045734145873021E-2</v>
      </c>
      <c r="H41" s="32">
        <f t="shared" si="3"/>
        <v>0.96137202437619051</v>
      </c>
      <c r="I41" s="23">
        <f t="shared" si="4"/>
        <v>3.769691278289208</v>
      </c>
      <c r="J41" s="23">
        <f t="shared" si="5"/>
        <v>13.383411522051112</v>
      </c>
      <c r="K41" s="23">
        <f t="shared" si="6"/>
        <v>94.242281957230205</v>
      </c>
      <c r="L41" s="23">
        <f t="shared" si="7"/>
        <v>334.58528805127781</v>
      </c>
    </row>
    <row r="42" spans="1:12" x14ac:dyDescent="0.35">
      <c r="A42" s="18">
        <v>24</v>
      </c>
      <c r="B42" s="20">
        <f t="shared" si="8"/>
        <v>4.1666666666666664E-2</v>
      </c>
      <c r="C42" s="21">
        <f t="shared" si="9"/>
        <v>12.499999999999998</v>
      </c>
      <c r="D42" s="22">
        <f t="shared" si="10"/>
        <v>1.2499999999999998</v>
      </c>
      <c r="E42" s="33">
        <f t="shared" si="0"/>
        <v>5.4122421204056297E-2</v>
      </c>
      <c r="F42" s="33">
        <f t="shared" si="1"/>
        <v>0.17900303927604155</v>
      </c>
      <c r="G42" s="34">
        <f t="shared" si="2"/>
        <v>3.2356775725350263E-2</v>
      </c>
      <c r="H42" s="32">
        <f t="shared" si="3"/>
        <v>0.97070327176050797</v>
      </c>
      <c r="I42" s="23">
        <f t="shared" si="4"/>
        <v>4.2328740346884342</v>
      </c>
      <c r="J42" s="23">
        <f t="shared" si="5"/>
        <v>13.93990675229351</v>
      </c>
      <c r="K42" s="23">
        <f t="shared" si="6"/>
        <v>101.58897683252242</v>
      </c>
      <c r="L42" s="23">
        <f t="shared" si="7"/>
        <v>334.55776205504424</v>
      </c>
    </row>
    <row r="43" spans="1:12" x14ac:dyDescent="0.35">
      <c r="A43" s="18">
        <v>23</v>
      </c>
      <c r="B43" s="20">
        <f t="shared" si="8"/>
        <v>4.3478260869565216E-2</v>
      </c>
      <c r="C43" s="21">
        <f t="shared" si="9"/>
        <v>13.043478260869565</v>
      </c>
      <c r="D43" s="22">
        <f t="shared" si="10"/>
        <v>1.3043478260869565</v>
      </c>
      <c r="E43" s="33">
        <f t="shared" si="0"/>
        <v>6.9214849689281516E-2</v>
      </c>
      <c r="F43" s="33">
        <f t="shared" si="1"/>
        <v>0.19406232567555762</v>
      </c>
      <c r="G43" s="34">
        <f t="shared" si="2"/>
        <v>3.2615426927702043E-2</v>
      </c>
      <c r="H43" s="32">
        <f t="shared" si="3"/>
        <v>0.97846280783106132</v>
      </c>
      <c r="I43" s="23">
        <f t="shared" si="4"/>
        <v>4.7120955906149087</v>
      </c>
      <c r="J43" s="23">
        <f t="shared" si="5"/>
        <v>14.496723668925524</v>
      </c>
      <c r="K43" s="23">
        <f t="shared" si="6"/>
        <v>108.37819858414291</v>
      </c>
      <c r="L43" s="23">
        <f t="shared" si="7"/>
        <v>333.42464438528708</v>
      </c>
    </row>
    <row r="44" spans="1:12" x14ac:dyDescent="0.35">
      <c r="A44" s="18">
        <v>22</v>
      </c>
      <c r="B44" s="20">
        <f t="shared" si="8"/>
        <v>4.5454545454545456E-2</v>
      </c>
      <c r="C44" s="21">
        <f t="shared" si="9"/>
        <v>13.636363636363637</v>
      </c>
      <c r="D44" s="22">
        <f t="shared" si="10"/>
        <v>1.3636363636363638</v>
      </c>
      <c r="E44" s="33">
        <f t="shared" si="0"/>
        <v>8.7315709911014339E-2</v>
      </c>
      <c r="F44" s="33">
        <f t="shared" si="1"/>
        <v>0.20880835591152902</v>
      </c>
      <c r="G44" s="34">
        <f t="shared" si="2"/>
        <v>3.2823099273146528E-2</v>
      </c>
      <c r="H44" s="32">
        <f t="shared" si="3"/>
        <v>0.98469297819439583</v>
      </c>
      <c r="I44" s="23">
        <f t="shared" si="4"/>
        <v>5.1975301658116937</v>
      </c>
      <c r="J44" s="23">
        <f t="shared" si="5"/>
        <v>15.044459947755652</v>
      </c>
      <c r="K44" s="23">
        <f t="shared" si="6"/>
        <v>114.34566364785726</v>
      </c>
      <c r="L44" s="23">
        <f t="shared" si="7"/>
        <v>330.9781188506243</v>
      </c>
    </row>
    <row r="45" spans="1:12" x14ac:dyDescent="0.35">
      <c r="A45" s="18">
        <v>21</v>
      </c>
      <c r="B45" s="20">
        <f t="shared" si="8"/>
        <v>4.7619047619047616E-2</v>
      </c>
      <c r="C45" s="21">
        <f t="shared" si="9"/>
        <v>14.285714285714285</v>
      </c>
      <c r="D45" s="22">
        <f t="shared" si="10"/>
        <v>1.4285714285714284</v>
      </c>
      <c r="E45" s="33">
        <f t="shared" si="0"/>
        <v>0.1085885028705908</v>
      </c>
      <c r="F45" s="33">
        <f t="shared" si="1"/>
        <v>0.22296714075873009</v>
      </c>
      <c r="G45" s="34">
        <f t="shared" si="2"/>
        <v>3.2983620208333606E-2</v>
      </c>
      <c r="H45" s="32">
        <f t="shared" si="3"/>
        <v>0.98950860625000803</v>
      </c>
      <c r="I45" s="23">
        <f t="shared" si="4"/>
        <v>5.6787277929829507</v>
      </c>
      <c r="J45" s="23">
        <f t="shared" si="5"/>
        <v>15.573813855483035</v>
      </c>
      <c r="K45" s="23">
        <f t="shared" si="6"/>
        <v>119.25328365264197</v>
      </c>
      <c r="L45" s="23">
        <f t="shared" si="7"/>
        <v>327.05009096514374</v>
      </c>
    </row>
    <row r="46" spans="1:12" x14ac:dyDescent="0.35">
      <c r="A46" s="18">
        <v>20</v>
      </c>
      <c r="B46" s="20">
        <f t="shared" si="8"/>
        <v>0.05</v>
      </c>
      <c r="C46" s="21">
        <f t="shared" si="9"/>
        <v>15</v>
      </c>
      <c r="D46" s="22">
        <f t="shared" si="10"/>
        <v>1.5</v>
      </c>
      <c r="E46" s="33">
        <f t="shared" si="0"/>
        <v>0.13309123917596885</v>
      </c>
      <c r="F46" s="33">
        <f t="shared" si="1"/>
        <v>0.23630373253344256</v>
      </c>
      <c r="G46" s="34">
        <f t="shared" si="2"/>
        <v>3.3102749243768562E-2</v>
      </c>
      <c r="H46" s="32">
        <f t="shared" si="3"/>
        <v>0.99308247731305666</v>
      </c>
      <c r="I46" s="23">
        <f t="shared" si="4"/>
        <v>6.1456132784597992</v>
      </c>
      <c r="J46" s="23">
        <f t="shared" si="5"/>
        <v>16.076438051590372</v>
      </c>
      <c r="K46" s="23">
        <f t="shared" si="6"/>
        <v>122.91226556919598</v>
      </c>
      <c r="L46" s="23">
        <f t="shared" si="7"/>
        <v>321.52876103180745</v>
      </c>
    </row>
    <row r="47" spans="1:12" x14ac:dyDescent="0.35">
      <c r="A47" s="18">
        <v>19</v>
      </c>
      <c r="B47" s="20">
        <f t="shared" si="8"/>
        <v>5.2631578947368418E-2</v>
      </c>
      <c r="C47" s="21">
        <f t="shared" si="9"/>
        <v>15.789473684210524</v>
      </c>
      <c r="D47" s="22">
        <f t="shared" si="10"/>
        <v>1.5789473684210524</v>
      </c>
      <c r="E47" s="33">
        <f t="shared" si="0"/>
        <v>0.16077344326577778</v>
      </c>
      <c r="F47" s="33">
        <f t="shared" si="1"/>
        <v>0.24864004250065294</v>
      </c>
      <c r="G47" s="34">
        <f t="shared" si="2"/>
        <v>3.3187433157902554E-2</v>
      </c>
      <c r="H47" s="32">
        <f t="shared" si="3"/>
        <v>0.99562299473707649</v>
      </c>
      <c r="I47" s="23">
        <f t="shared" si="4"/>
        <v>6.5894313705496934</v>
      </c>
      <c r="J47" s="23">
        <f t="shared" si="5"/>
        <v>16.545661317920459</v>
      </c>
      <c r="K47" s="23">
        <f t="shared" si="6"/>
        <v>125.19919604044418</v>
      </c>
      <c r="L47" s="23">
        <f t="shared" si="7"/>
        <v>314.36756504048873</v>
      </c>
    </row>
    <row r="48" spans="1:12" x14ac:dyDescent="0.35">
      <c r="A48" s="18">
        <v>18</v>
      </c>
      <c r="B48" s="20">
        <f t="shared" si="8"/>
        <v>5.5555555555555552E-2</v>
      </c>
      <c r="C48" s="21">
        <f t="shared" si="9"/>
        <v>16.666666666666664</v>
      </c>
      <c r="D48" s="22">
        <f t="shared" si="10"/>
        <v>1.6666666666666665</v>
      </c>
      <c r="E48" s="33">
        <f t="shared" si="0"/>
        <v>0.1914871468155733</v>
      </c>
      <c r="F48" s="33">
        <f t="shared" si="1"/>
        <v>0.25986404833211363</v>
      </c>
      <c r="G48" s="34">
        <f t="shared" si="2"/>
        <v>3.3244968334854096E-2</v>
      </c>
      <c r="H48" s="32">
        <f t="shared" si="3"/>
        <v>0.9973490500456228</v>
      </c>
      <c r="I48" s="23">
        <f t="shared" si="4"/>
        <v>7.0034474385684309</v>
      </c>
      <c r="J48" s="23">
        <f t="shared" si="5"/>
        <v>16.976937939024662</v>
      </c>
      <c r="K48" s="23">
        <f t="shared" si="6"/>
        <v>126.06205389423177</v>
      </c>
      <c r="L48" s="23">
        <f t="shared" si="7"/>
        <v>305.58488290244395</v>
      </c>
    </row>
    <row r="49" spans="1:12" x14ac:dyDescent="0.35">
      <c r="A49" s="18">
        <v>17</v>
      </c>
      <c r="B49" s="20">
        <f t="shared" si="8"/>
        <v>5.8823529411764705E-2</v>
      </c>
      <c r="C49" s="21">
        <f t="shared" si="9"/>
        <v>17.647058823529409</v>
      </c>
      <c r="D49" s="22">
        <f t="shared" si="10"/>
        <v>1.7647058823529409</v>
      </c>
      <c r="E49" s="33">
        <f t="shared" si="0"/>
        <v>0.22500857576093328</v>
      </c>
      <c r="F49" s="33">
        <f t="shared" si="1"/>
        <v>0.26992966819177744</v>
      </c>
      <c r="G49" s="34">
        <f t="shared" si="2"/>
        <v>3.3282249778984849E-2</v>
      </c>
      <c r="H49" s="32">
        <f t="shared" si="3"/>
        <v>0.99846749336954532</v>
      </c>
      <c r="I49" s="23">
        <f t="shared" si="4"/>
        <v>7.383288635164388</v>
      </c>
      <c r="J49" s="23">
        <f t="shared" si="5"/>
        <v>17.367963568859842</v>
      </c>
      <c r="K49" s="23">
        <f t="shared" si="6"/>
        <v>125.5159067977946</v>
      </c>
      <c r="L49" s="23">
        <f t="shared" si="7"/>
        <v>295.25538067061734</v>
      </c>
    </row>
    <row r="50" spans="1:12" x14ac:dyDescent="0.35">
      <c r="A50" s="18">
        <v>16</v>
      </c>
      <c r="B50" s="20">
        <f t="shared" si="8"/>
        <v>6.25E-2</v>
      </c>
      <c r="C50" s="21">
        <f t="shared" si="9"/>
        <v>18.75</v>
      </c>
      <c r="D50" s="22">
        <f t="shared" si="10"/>
        <v>1.875</v>
      </c>
      <c r="E50" s="33">
        <f t="shared" si="0"/>
        <v>0.2610651125313258</v>
      </c>
      <c r="F50" s="33">
        <f t="shared" si="1"/>
        <v>0.27884877454440932</v>
      </c>
      <c r="G50" s="34">
        <f t="shared" si="2"/>
        <v>3.3305237476870211E-2</v>
      </c>
      <c r="H50" s="32">
        <f t="shared" si="3"/>
        <v>0.99915712430610637</v>
      </c>
      <c r="I50" s="23">
        <f t="shared" si="4"/>
        <v>7.7269157939531539</v>
      </c>
      <c r="J50" s="23">
        <f t="shared" si="5"/>
        <v>17.718487037014221</v>
      </c>
      <c r="K50" s="23">
        <f t="shared" si="6"/>
        <v>123.63065270325046</v>
      </c>
      <c r="L50" s="23">
        <f t="shared" si="7"/>
        <v>283.49579259222753</v>
      </c>
    </row>
    <row r="51" spans="1:12" x14ac:dyDescent="0.35">
      <c r="A51" s="24" t="s">
        <v>186</v>
      </c>
      <c r="B51" s="24" t="s">
        <v>187</v>
      </c>
      <c r="D51" s="13"/>
      <c r="K51" s="24" t="s">
        <v>186</v>
      </c>
      <c r="L51" s="24" t="s">
        <v>186</v>
      </c>
    </row>
  </sheetData>
  <mergeCells count="4">
    <mergeCell ref="A1:L1"/>
    <mergeCell ref="A3:C3"/>
    <mergeCell ref="A9:C9"/>
    <mergeCell ref="B13:D13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MM1 (en)</vt:lpstr>
      <vt:lpstr>MM1 (de)</vt:lpstr>
      <vt:lpstr>MMc (en)</vt:lpstr>
      <vt:lpstr>MMc (de)</vt:lpstr>
      <vt:lpstr>MMcKM (en)</vt:lpstr>
      <vt:lpstr>MMcKM (de)</vt:lpstr>
      <vt:lpstr>MMcc (en)</vt:lpstr>
      <vt:lpstr>MMcc (de)</vt:lpstr>
      <vt:lpstr>MMc example (en)</vt:lpstr>
      <vt:lpstr>MMc-Beispiel (de)</vt:lpstr>
      <vt:lpstr>MMcKM example (en)</vt:lpstr>
      <vt:lpstr>MMcKM example (de)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Herzog</dc:creator>
  <cp:lastModifiedBy>Alexander Herzog</cp:lastModifiedBy>
  <cp:lastPrinted>2016-09-19T07:33:34Z</cp:lastPrinted>
  <dcterms:created xsi:type="dcterms:W3CDTF">2016-09-15T06:14:56Z</dcterms:created>
  <dcterms:modified xsi:type="dcterms:W3CDTF">2024-04-13T22:06:46Z</dcterms:modified>
</cp:coreProperties>
</file>